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xml version="1.0" encoding="UTF-8"?>
<Relationships xmlns="http://schemas.openxmlformats.org/package/2006/relationships">
  <Relationship Id="rId1" Type="http://schemas.openxmlformats.org/officeDocument/2006/relationships/officeDocument" Target="xl/workbook.xml"></Relationship>
  <Relationship Id="rId2" Type="http://schemas.openxmlformats.org/package/2006/relationships/metadata/core-properties" Target="docProps/core.xml"></Relationship>
  <Relationship Id="rId3" Type="http://schemas.openxmlformats.org/officeDocument/2006/relationships/extended-properties" Target="docProps/app.xml"></Relationship>
  <Relationship Id="rId4" Type="http://schemas.openxmlformats.org/officeDocument/2006/relationships/custom-properties" Target="docProps/custom.xml"></Relationship>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使用说明" sheetId="1" state="visible" r:id="rId1"/>
    <sheet xmlns:r="http://schemas.openxmlformats.org/officeDocument/2006/relationships" name="01-项目概况" sheetId="2" state="visible" r:id="rId2"/>
    <sheet xmlns:r="http://schemas.openxmlformats.org/officeDocument/2006/relationships" name="02-检查清单" sheetId="3" state="visible" r:id="rId3"/>
    <sheet xmlns:r="http://schemas.openxmlformats.org/officeDocument/2006/relationships" name="03-问题台账" sheetId="4" state="visible" r:id="rId4"/>
    <sheet xmlns:r="http://schemas.openxmlformats.org/officeDocument/2006/relationships" name="04-流程还原" sheetId="5" state="visible" r:id="rId5"/>
    <sheet xmlns:r="http://schemas.openxmlformats.org/officeDocument/2006/relationships" name="05-发布闸门" sheetId="6" state="visible" r:id="rId6"/>
  </sheets>
  <definedNames>
    <definedName name="_xlnm._FilterDatabase" localSheetId="2" hidden="1">'02-检查清单'!$A$2:$I$56</definedName>
    <definedName name="_xlnm._FilterDatabase" localSheetId="3" hidden="1">'03-问题台账'!$A$2:$N$35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Microsoft YaHei"/>
      <b val="1"/>
      <color rgb="00FFFFFF"/>
      <sz val="20"/>
    </font>
    <font>
      <name val="Microsoft YaHei"/>
      <i val="1"/>
      <color rgb="00595959"/>
      <sz val="10"/>
    </font>
    <font>
      <name val="Microsoft YaHei"/>
      <b val="1"/>
      <color rgb="00FFFFFF"/>
      <sz val="12"/>
    </font>
    <font>
      <name val="Microsoft YaHei"/>
      <color rgb="00333333"/>
      <sz val="10"/>
    </font>
    <font>
      <name val="Microsoft YaHei"/>
      <b val="1"/>
      <color rgb="00FFFFFF"/>
      <sz val="16"/>
    </font>
    <font>
      <name val="Microsoft YaHei"/>
      <b val="1"/>
      <color rgb="00333333"/>
      <sz val="10"/>
    </font>
    <font>
      <name val="Microsoft YaHei"/>
      <color rgb="007F7F7F"/>
      <sz val="10"/>
    </font>
    <font>
      <name val="Microsoft YaHei"/>
      <b val="1"/>
      <color rgb="00FFFFFF"/>
      <sz val="10"/>
    </font>
    <font>
      <name val="Microsoft YaHei"/>
      <b val="1"/>
      <color rgb="001F3864"/>
      <sz val="11"/>
    </font>
    <font>
      <name val="Microsoft YaHei"/>
      <b val="1"/>
      <color rgb="009C0006"/>
      <sz val="10"/>
    </font>
    <font>
      <name val="Microsoft YaHei"/>
      <b val="1"/>
      <color rgb="007F6000"/>
      <sz val="10"/>
    </font>
    <font>
      <name val="Microsoft YaHei"/>
      <color rgb="00375623"/>
      <sz val="10"/>
    </font>
    <font>
      <name val="Microsoft YaHei"/>
      <b val="1"/>
      <sz val="10"/>
    </font>
    <font>
      <name val="Microsoft YaHei"/>
      <b val="1"/>
      <color rgb="00FFFFFF"/>
      <sz val="11"/>
    </font>
    <font>
      <name val="Microsoft YaHei"/>
      <b val="1"/>
      <color rgb="00333333"/>
      <sz val="11"/>
    </font>
  </fonts>
  <fills count="12">
    <fill>
      <patternFill/>
    </fill>
    <fill>
      <patternFill patternType="gray125"/>
    </fill>
    <fill>
      <patternFill patternType="solid">
        <fgColor rgb="001F3864"/>
      </patternFill>
    </fill>
    <fill>
      <patternFill patternType="solid">
        <fgColor rgb="00F2F2F2"/>
      </patternFill>
    </fill>
    <fill>
      <patternFill patternType="solid">
        <fgColor rgb="002E5C8A"/>
      </patternFill>
    </fill>
    <fill>
      <patternFill patternType="solid">
        <fgColor rgb="008FAADC"/>
      </patternFill>
    </fill>
    <fill>
      <patternFill patternType="solid">
        <fgColor rgb="00D9E2F3"/>
      </patternFill>
    </fill>
    <fill>
      <patternFill patternType="solid">
        <fgColor rgb="00F4CCCC"/>
      </patternFill>
    </fill>
    <fill>
      <patternFill patternType="solid">
        <fgColor rgb="00FFE699"/>
      </patternFill>
    </fill>
    <fill>
      <patternFill patternType="solid">
        <fgColor rgb="00E2EFDA"/>
      </patternFill>
    </fill>
    <fill>
      <patternFill patternType="solid">
        <fgColor rgb="00FFF2CC"/>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left" vertical="center" wrapText="1"/>
    </xf>
    <xf numFmtId="0" fontId="4" fillId="0" borderId="1" applyAlignment="1" pivotButton="0" quotePrefix="0" xfId="0">
      <alignment horizontal="left" vertical="top" wrapText="1"/>
    </xf>
    <xf numFmtId="0" fontId="5" fillId="2" borderId="1" applyAlignment="1" pivotButton="0" quotePrefix="0" xfId="0">
      <alignment horizontal="left" vertical="center" wrapText="1"/>
    </xf>
    <xf numFmtId="0" fontId="6" fillId="3" borderId="1" applyAlignment="1" pivotButton="0" quotePrefix="0" xfId="0">
      <alignment horizontal="left" vertical="top" wrapText="1"/>
    </xf>
    <xf numFmtId="0" fontId="7" fillId="0" borderId="1" applyAlignment="1" pivotButton="0" quotePrefix="0" xfId="0">
      <alignment horizontal="left" vertical="top" wrapText="1"/>
    </xf>
    <xf numFmtId="0" fontId="6"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9" fillId="6" borderId="1" applyAlignment="1" pivotButton="0" quotePrefix="0" xfId="0">
      <alignment horizontal="left" vertical="center" wrapText="1"/>
    </xf>
    <xf numFmtId="0" fontId="4" fillId="0" borderId="1" applyAlignment="1" pivotButton="0" quotePrefix="0" xfId="0">
      <alignment horizontal="center" vertical="center" wrapText="1"/>
    </xf>
    <xf numFmtId="0" fontId="10"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7" borderId="1" applyAlignment="1" pivotButton="0" quotePrefix="0" xfId="0">
      <alignment horizontal="center" vertical="center" wrapText="1"/>
    </xf>
    <xf numFmtId="0" fontId="4" fillId="10" borderId="1" applyAlignment="1" pivotButton="0" quotePrefix="0" xfId="0">
      <alignment horizontal="center" vertical="center" wrapText="1"/>
    </xf>
    <xf numFmtId="0" fontId="13" fillId="8" borderId="1" applyAlignment="1" pivotButton="0" quotePrefix="0" xfId="0">
      <alignment horizontal="center" vertical="center" wrapText="1"/>
    </xf>
    <xf numFmtId="0" fontId="14" fillId="4" borderId="1" applyAlignment="1" pivotButton="0" quotePrefix="0" xfId="0">
      <alignment horizontal="left" vertical="center" wrapText="1"/>
    </xf>
    <xf numFmtId="0" fontId="14" fillId="11" borderId="1" applyAlignment="1" pivotButton="0" quotePrefix="0" xfId="0">
      <alignment horizontal="left" vertical="center" wrapText="1"/>
    </xf>
    <xf numFmtId="0" fontId="10" fillId="7" borderId="1" applyAlignment="1" pivotButton="0" quotePrefix="0" xfId="0">
      <alignment horizontal="left" vertical="top" wrapText="1"/>
    </xf>
    <xf numFmtId="0" fontId="6" fillId="3" borderId="1" applyAlignment="1" pivotButton="0" quotePrefix="0" xfId="0">
      <alignment horizontal="left" vertical="center" wrapText="1"/>
    </xf>
    <xf numFmtId="0" fontId="1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B2:C23"/>
  <sheetViews>
    <sheetView showGridLines="0" workbookViewId="0">
      <selection activeCell="A1" sqref="A1"/>
    </sheetView>
  </sheetViews>
  <sheetFormatPr baseColWidth="8" defaultRowHeight="15"/>
  <cols>
    <col width="4" customWidth="1" min="1" max="1"/>
    <col width="22" customWidth="1" min="2" max="2"/>
    <col width="78" customWidth="1" min="3" max="3"/>
    <col width="4" customWidth="1" min="4" max="4"/>
  </cols>
  <sheetData>
    <row r="2" ht="42" customHeight="1">
      <c r="B2" s="1" t="inlineStr">
        <is>
          <t>微信小程序 · 业务审计检查清单</t>
        </is>
      </c>
    </row>
    <row r="3" ht="22" customHeight="1">
      <c r="B3" s="2" t="inlineStr">
        <is>
          <t>适用：含交易/撮合/预约/服务履约类小程序（电商、同城服务、到店、内容付费均可裁剪套用）</t>
        </is>
      </c>
    </row>
    <row r="5" ht="24" customHeight="1">
      <c r="B5" s="3" t="inlineStr">
        <is>
          <t>一、怎么用</t>
        </is>
      </c>
    </row>
    <row r="6" ht="18" customHeight="1">
      <c r="B6" s="4" t="inlineStr">
        <is>
          <t>1. 先填【01-项目概况】：把业务模式、角色、资金链路写清，后面所有判断都以此为准。</t>
        </is>
      </c>
    </row>
    <row r="7" ht="18" customHeight="1">
      <c r="B7" s="4" t="inlineStr">
        <is>
          <t>2. 逐模块勾选【02-检查清单】：状态列下拉选 通过/不通过/待确认/N/A，严重级 P0 必须清零才能上线。</t>
        </is>
      </c>
    </row>
    <row r="8" ht="18" customHeight="1">
      <c r="B8" s="4" t="inlineStr">
        <is>
          <t>3. 发现问题的，在【03-问题台账】登记一条，编号自动带出，闭环后再关单。</t>
        </is>
      </c>
    </row>
    <row r="9" ht="18" customHeight="1">
      <c r="B9" s="4" t="inlineStr">
        <is>
          <t>4. 用【04-流程还原】把主流程/异常流画成文字状态机，确认每一步都有出口和兜底。</t>
        </is>
      </c>
    </row>
    <row r="10" ht="18" customHeight="1">
      <c r="B10" s="4" t="inlineStr">
        <is>
          <t>5. 最后跑【05-发布闸门】，P0&gt;0 或 P1 未评审 = 不放行。</t>
        </is>
      </c>
    </row>
    <row r="11" ht="18" customHeight="1">
      <c r="B11" s="4" t="inlineStr"/>
    </row>
    <row r="12" ht="24" customHeight="1">
      <c r="B12" s="3" t="inlineStr">
        <is>
          <t>二、严重级定义</t>
        </is>
      </c>
    </row>
    <row r="13" ht="18" customHeight="1">
      <c r="B13" s="4" t="inlineStr">
        <is>
          <t>P0 致命　资损/越权/合规红线/数据泄露，可直接上线即出事，必须修复。</t>
        </is>
      </c>
    </row>
    <row r="14" ht="18" customHeight="1">
      <c r="B14" s="4" t="inlineStr">
        <is>
          <t>P1 严重　状态不闭环/重复扣款/爽约无兜底/关键流程断层，发布前必须评审处置。</t>
        </is>
      </c>
    </row>
    <row r="15" ht="18" customHeight="1">
      <c r="B15" s="4" t="inlineStr">
        <is>
          <t>P2 一般　体验、文案、边界提示，可排期优化。</t>
        </is>
      </c>
    </row>
    <row r="16" ht="18" customHeight="1">
      <c r="B16" s="4" t="inlineStr"/>
    </row>
    <row r="17" ht="24" customHeight="1">
      <c r="B17" s="3" t="inlineStr">
        <is>
          <t>三、喂给 TRAE Agent 的指令（复制即用）</t>
        </is>
      </c>
    </row>
    <row r="18" ht="30" customHeight="1">
      <c r="B18" s="4" t="inlineStr">
        <is>
          <t>你是资深系统分析师+小程序业务架构师。基于本项目代码(pages/utils/store)、接口定义与 PRD，逐条核对下方清单。每条结论必须附「依据文件:行号/接口名」，代码无依据的标注【待确认】。按 P0→P1→P2 输出，每条给：严重级、现象、影响、修复建议。</t>
        </is>
      </c>
    </row>
    <row r="19" ht="18" customHeight="1">
      <c r="B19" s="4" t="inlineStr"/>
    </row>
    <row r="20" ht="24" customHeight="1">
      <c r="B20" s="3" t="inlineStr">
        <is>
          <t>四、防幻觉三条铁律</t>
        </is>
      </c>
    </row>
    <row r="21" ht="18" customHeight="1">
      <c r="B21" s="4" t="inlineStr">
        <is>
          <t>• 不替项目「补」接口和字段，缺证据就写待确认。</t>
        </is>
      </c>
    </row>
    <row r="22" ht="18" customHeight="1">
      <c r="B22" s="4" t="inlineStr">
        <is>
          <t>• 资金/分账/退款/违约金相关结论，人工逐条复核，不自动采纳。</t>
        </is>
      </c>
    </row>
    <row r="23" ht="18" customHeight="1">
      <c r="B23" s="4" t="inlineStr">
        <is>
          <t>• AI 跑完后，用微信开发者工具按【03-问题台账】的用例实测一遍。</t>
        </is>
      </c>
    </row>
  </sheetData>
  <mergeCells count="21">
    <mergeCell ref="B16:C16"/>
    <mergeCell ref="B7:C7"/>
    <mergeCell ref="B3:C3"/>
    <mergeCell ref="B22:C22"/>
    <mergeCell ref="B18:C18"/>
    <mergeCell ref="B12:C12"/>
    <mergeCell ref="B21:C21"/>
    <mergeCell ref="B2:C2"/>
    <mergeCell ref="B11:C11"/>
    <mergeCell ref="B23:C23"/>
    <mergeCell ref="B14:C14"/>
    <mergeCell ref="B17:C17"/>
    <mergeCell ref="B8:C8"/>
    <mergeCell ref="B13:C13"/>
    <mergeCell ref="B19:C19"/>
    <mergeCell ref="B10:C10"/>
    <mergeCell ref="B9:C9"/>
    <mergeCell ref="B6:C6"/>
    <mergeCell ref="B15:C15"/>
    <mergeCell ref="B5:C5"/>
    <mergeCell ref="B20:C20"/>
  </mergeCells>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B2:D26"/>
  <sheetViews>
    <sheetView showGridLines="0" workbookViewId="0">
      <selection activeCell="A1" sqref="A1"/>
    </sheetView>
  </sheetViews>
  <sheetFormatPr baseColWidth="8" defaultRowHeight="15"/>
  <cols>
    <col width="3" customWidth="1" min="1" max="1"/>
    <col width="26" customWidth="1" min="2" max="2"/>
    <col width="52" customWidth="1" min="3" max="3"/>
    <col width="52" customWidth="1" min="4" max="4"/>
  </cols>
  <sheetData>
    <row r="2" ht="34" customHeight="1">
      <c r="B2" s="5" t="inlineStr">
        <is>
          <t>01 · 项目概况（审计基线，先填这张）</t>
        </is>
      </c>
    </row>
    <row r="4" ht="24" customHeight="1">
      <c r="B4" s="3" t="inlineStr">
        <is>
          <t>A. 业务定位</t>
        </is>
      </c>
    </row>
    <row r="5" ht="30" customHeight="1">
      <c r="B5" s="6" t="inlineStr">
        <is>
          <t>业务模式</t>
        </is>
      </c>
      <c r="C5" s="7" t="inlineStr">
        <is>
          <t xml:space="preserve">C2C 同城陪伴撮合（耍伴接单履约）；V1.0 模拟支付，正式走微信支付（服务商模式）</t>
        </is>
      </c>
      <c r="D5" s="7" t="inlineStr">
        <is>
          <t xml:space="preserve">谁付钱：需求方按订单/时薪付费；谁干活：已认证耍伴；平台抽：交易佣金（默认 10%）+ 打赏（成员待做）</t>
        </is>
      </c>
    </row>
    <row r="6" ht="30" customHeight="1">
      <c r="B6" s="6" t="inlineStr">
        <is>
          <t>核心角色</t>
        </is>
      </c>
      <c r="C6" s="7" t="inlineStr">
        <is>
          <t>用户 / 服务者 / 商家 / 运营 / 客服</t>
        </is>
      </c>
      <c r="D6" s="7" t="inlineStr">
        <is>
          <t>每角色对应哪个登录态与权限组</t>
        </is>
      </c>
    </row>
    <row r="7" ht="30" customHeight="1">
      <c r="B7" s="6" t="inlineStr">
        <is>
          <t>盈利链路</t>
        </is>
      </c>
      <c r="C7" s="7" t="inlineStr">
        <is>
          <t xml:space="preserve">交易佣金(GMV×费率, 代码默认 10% platform_fee_rate_fen) + 打赏 + 会员(待做)。BP 分场景 12/15/18% 未实现</t>
        </is>
      </c>
      <c r="D7" s="7" t="inlineStr">
        <is>
          <t xml:space="preserve">钱流向：用户付款→(模拟支付)平台冻结→确认完成→结算给耍伴→耍伴提现。与 BP「资金不过平台」矛盾，见 ISS-001</t>
        </is>
      </c>
    </row>
    <row r="9" ht="24" customHeight="1">
      <c r="B9" s="3" t="inlineStr">
        <is>
          <t>B. 订单状态机（把真实枚举写这里，后面逐条对照代码）</t>
        </is>
      </c>
    </row>
    <row r="10" ht="22" customHeight="1">
      <c r="B10" s="8" t="inlineStr">
        <is>
          <t>状态1</t>
        </is>
      </c>
      <c r="C10" s="9" t="inlineStr">
        <is>
          <t xml:space="preserve">S0 待支付（下单未付款）</t>
        </is>
      </c>
      <c r="D10" s="10" t="inlineStr">
        <is>
          <t>允许由哪些状态转入 / 转出？超时兜底？</t>
        </is>
      </c>
    </row>
    <row r="11" ht="22" customHeight="1">
      <c r="B11" s="8" t="inlineStr">
        <is>
          <t>状态2</t>
        </is>
      </c>
      <c r="C11" s="9" t="inlineStr">
        <is>
          <t xml:space="preserve">S1 待确认（四确认：时间/地点/内容/费用）</t>
        </is>
      </c>
      <c r="D11" s="10" t="inlineStr">
        <is>
          <t>允许由哪些状态转入 / 转出？超时兜底？</t>
        </is>
      </c>
    </row>
    <row r="12" ht="22" customHeight="1">
      <c r="B12" s="8" t="inlineStr">
        <is>
          <t>状态3</t>
        </is>
      </c>
      <c r="C12" s="9" t="inlineStr">
        <is>
          <t xml:space="preserve">S2 已支付待履约（可开始/改期/协商取消）</t>
        </is>
      </c>
      <c r="D12" s="10" t="inlineStr">
        <is>
          <t>允许由哪些状态转入 / 转出？超时兜底？</t>
        </is>
      </c>
    </row>
    <row r="13" ht="22" customHeight="1">
      <c r="B13" s="8" t="inlineStr">
        <is>
          <t>状态4</t>
        </is>
      </c>
      <c r="C13" s="9" t="inlineStr">
        <is>
          <t xml:space="preserve">S2.6→S3 履约中（开始/完毕双确认链路）</t>
        </is>
      </c>
      <c r="D13" s="10" t="inlineStr">
        <is>
          <t>允许由哪些状态转入 / 转出？超时兜底？</t>
        </is>
      </c>
    </row>
    <row r="14" ht="22" customHeight="1">
      <c r="B14" s="8" t="inlineStr">
        <is>
          <t>状态5</t>
        </is>
      </c>
      <c r="C14" s="9" t="inlineStr">
        <is>
          <t xml:space="preserve">S5 已完成（S3.6 履约完毕确认中→确认）</t>
        </is>
      </c>
      <c r="D14" s="10" t="inlineStr">
        <is>
          <t>允许由哪些状态转入 / 转出？超时兜底？</t>
        </is>
      </c>
    </row>
    <row r="15" ht="22" customHeight="1">
      <c r="B15" s="8" t="inlineStr">
        <is>
          <t>状态6</t>
        </is>
      </c>
      <c r="C15" s="9" t="inlineStr">
        <is>
          <t xml:space="preserve">S8 已评价（生效后 S10 关闭）</t>
        </is>
      </c>
      <c r="D15" s="10" t="inlineStr">
        <is>
          <t>允许由哪些状态转入 / 转出？超时兜底？</t>
        </is>
      </c>
    </row>
    <row r="16" ht="22" customHeight="1">
      <c r="B16" s="8" t="inlineStr">
        <is>
          <t>状态7</t>
        </is>
      </c>
      <c r="C16" s="9" t="inlineStr">
        <is>
          <t xml:space="preserve">S7 已退款（取消/争议退款）</t>
        </is>
      </c>
      <c r="D16" s="10" t="inlineStr">
        <is>
          <t>允许由哪些状态转入 / 转出？超时兜底？</t>
        </is>
      </c>
    </row>
    <row r="17" ht="22" customHeight="1">
      <c r="B17" s="8" t="inlineStr">
        <is>
          <t>状态8</t>
        </is>
      </c>
      <c r="C17" s="9" t="inlineStr">
        <is>
          <t xml:space="preserve">S6 已取消</t>
        </is>
      </c>
      <c r="D17" s="10" t="inlineStr">
        <is>
          <t>允许由哪些状态转入 / 转出？超时兜底？</t>
        </is>
      </c>
    </row>
    <row r="18" ht="22" customHeight="1">
      <c r="B18" s="8" t="inlineStr">
        <is>
          <t>状态9</t>
        </is>
      </c>
      <c r="C18" s="9" t="inlineStr">
        <is>
          <t xml:space="preserve">S10 已关闭（售后届满）</t>
        </is>
      </c>
      <c r="D18" s="10" t="inlineStr">
        <is>
          <t>允许由哪些状态转入 / 转出？超时兜底？</t>
        </is>
      </c>
    </row>
    <row r="19" ht="22" customHeight="1">
      <c r="B19" s="8" t="inlineStr">
        <is>
          <t>状态10</t>
        </is>
      </c>
      <c r="C19" s="9" t="inlineStr">
        <is>
          <t xml:space="preserve">S10.5 争议处理中（申诉/仲裁冻结）</t>
        </is>
      </c>
      <c r="D19" s="10" t="inlineStr">
        <is>
          <t>允许由哪些状态转入 / 转出？超时兜底？</t>
        </is>
      </c>
    </row>
    <row r="21" ht="24" customHeight="1">
      <c r="B21" s="3" t="inlineStr">
        <is>
          <t>C. 资金与合规基线</t>
        </is>
      </c>
    </row>
    <row r="22" ht="30" customHeight="1">
      <c r="B22" s="6" t="inlineStr">
        <is>
          <t>支付通道</t>
        </is>
      </c>
      <c r="C22" s="7" t="inlineStr">
        <is>
          <t xml:space="preserve">V1.0 payment-mock 模拟支付；正式接入微信支付（服务商直连分账，待接入）</t>
        </is>
      </c>
      <c r="D22" s="7" t="inlineStr">
        <is>
          <t xml:space="preserve">mock_payment_enabled 开关；无微信分账接口调用，分账仅本地账务 mock</t>
        </is>
      </c>
    </row>
    <row r="23" ht="30" customHeight="1">
      <c r="B23" s="6" t="inlineStr">
        <is>
          <t>资金沉淀</t>
        </is>
      </c>
      <c r="C23" s="7" t="inlineStr">
        <is>
          <t xml:space="preserve">mock_pay 记 paid_fen+settle_state=pending（预付款冻结）→确认完成/售后届满→settle_state=done→耍伴提现</t>
        </is>
      </c>
      <c r="D23" s="7" t="inlineStr">
        <is>
          <t xml:space="preserve">确认完成才结算；本质平台资金池（与 BP 直连分账矛盾，ISS-001）</t>
        </is>
      </c>
    </row>
    <row r="24" ht="30" customHeight="1">
      <c r="B24" s="6" t="inlineStr">
        <is>
          <t>退款路径</t>
        </is>
      </c>
      <c r="C24" s="7" t="inlineStr">
        <is>
          <t xml:space="preserve">原路返回；S2 梯度退款（用户全额/80%/50%，耍伴全额+20%赔付）；部分退非终态</t>
        </is>
      </c>
      <c r="D24" s="7" t="inlineStr">
        <is>
          <t xml:space="preserve">支持部分退/多次退；金额=已付−已退（不含打赏）</t>
        </is>
      </c>
    </row>
    <row r="25" ht="30" customHeight="1">
      <c r="B25" s="6" t="inlineStr">
        <is>
          <t>实名与资质</t>
        </is>
      </c>
      <c r="C25" s="7" t="inlineStr">
        <is>
          <t xml:space="preserve">实名 prod 不可用（真实人脸未接入，face_mode=wx 一律拒绝）；耍伴审核+场景认证(W1陪诊/W9宠物) + 考试</t>
        </is>
      </c>
      <c r="D25" s="7" t="inlineStr">
        <is>
          <t xml:space="preserve">医疗/宠物/情绪/未成年人等敏感场景有免责声明+认证闸门+非医疗声明</t>
        </is>
      </c>
    </row>
    <row r="26" ht="30" customHeight="1">
      <c r="B26" s="6" t="inlineStr">
        <is>
          <t>隐私与聊天</t>
        </is>
      </c>
      <c r="C26" s="7" t="inlineStr">
        <is>
          <t xml:space="preserve">手机号/身份证密文+掩码；聊天 msgSecCheck+违禁词；四确认前仅系统模板消息；禁外导流</t>
        </is>
      </c>
      <c r="D26" s="7" t="inlineStr">
        <is>
          <t xml:space="preserve">证据留存：IM 消息、履约定位快照、免责签署、审计哈希链</t>
        </is>
      </c>
    </row>
  </sheetData>
  <mergeCells count="4">
    <mergeCell ref="B9:D9"/>
    <mergeCell ref="B21:D21"/>
    <mergeCell ref="B2:D2"/>
    <mergeCell ref="B4:D4"/>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I56"/>
  <sheetViews>
    <sheetView showGridLines="0" workbookViewId="0">
      <pane ySplit="2" topLeftCell="A3" activePane="bottomLeft" state="frozen"/>
      <selection pane="bottomLeft" activeCell="A1" sqref="A1"/>
    </sheetView>
  </sheetViews>
  <sheetFormatPr baseColWidth="8" defaultRowHeight="15"/>
  <cols>
    <col width="8" customWidth="1" min="1" max="1"/>
    <col width="14" customWidth="1" min="2" max="2"/>
    <col width="30" customWidth="1" min="3" max="3"/>
    <col width="46" customWidth="1" min="4" max="4"/>
    <col width="26" customWidth="1" min="5" max="5"/>
    <col width="11" customWidth="1" min="6" max="6"/>
    <col width="9" customWidth="1" min="7" max="7"/>
    <col width="11" customWidth="1" min="8" max="8"/>
    <col width="34" customWidth="1" min="9" max="9"/>
  </cols>
  <sheetData>
    <row r="1" ht="34" customHeight="1">
      <c r="A1" s="5" t="inlineStr">
        <is>
          <t>02 · 业务审计检查清单</t>
        </is>
      </c>
    </row>
    <row r="2" ht="32" customHeight="1">
      <c r="A2" s="11" t="inlineStr">
        <is>
          <t>编号</t>
        </is>
      </c>
      <c r="B2" s="11" t="inlineStr">
        <is>
          <t>模块</t>
        </is>
      </c>
      <c r="C2" s="11" t="inlineStr">
        <is>
          <t>检查项</t>
        </is>
      </c>
      <c r="D2" s="11" t="inlineStr">
        <is>
          <t>检查要点（为什么重要）</t>
        </is>
      </c>
      <c r="E2" s="11" t="inlineStr">
        <is>
          <t>证据/依据
(文件:行号/接口)</t>
        </is>
      </c>
      <c r="F2" s="11" t="inlineStr">
        <is>
          <t>状态</t>
        </is>
      </c>
      <c r="G2" s="11" t="inlineStr">
        <is>
          <t>严重级</t>
        </is>
      </c>
      <c r="H2" s="11" t="inlineStr">
        <is>
          <t>问题ID
(台账关联)</t>
        </is>
      </c>
      <c r="I2" s="11" t="inlineStr">
        <is>
          <t>修复建议</t>
        </is>
      </c>
    </row>
    <row r="3" ht="22" customHeight="1">
      <c r="A3" s="12" t="inlineStr">
        <is>
          <t>M1 业务流程闭环</t>
        </is>
      </c>
    </row>
    <row r="4" ht="40" customHeight="1">
      <c r="A4" s="13" t="inlineStr">
        <is>
          <t>001</t>
        </is>
      </c>
      <c r="B4" s="13" t="inlineStr">
        <is>
          <t>M1</t>
        </is>
      </c>
      <c r="C4" s="4" t="inlineStr">
        <is>
          <t>主流程端到端可走通</t>
        </is>
      </c>
      <c r="D4" s="4" t="inlineStr">
        <is>
          <t>用户侧→服务者侧→后台，每一步都有前驱与后继状态，无死胡同</t>
        </is>
      </c>
      <c r="E4" s="4" t="inlineStr">
        <is>
          <t xml:space="preserve">order_state.no23-30 履约双确认</t>
        </is>
      </c>
      <c r="F4" s="13" t="inlineStr">
        <is>
          <t xml:space="preserve">通过</t>
        </is>
      </c>
      <c r="G4" s="14" t="inlineStr">
        <is>
          <t xml:space="preserve"/>
        </is>
      </c>
      <c r="H4" s="13" t="inlineStr">
        <is>
          <t xml:space="preserve"/>
        </is>
      </c>
      <c r="I4" s="4" t="inlineStr">
        <is>
          <t xml:space="preserve"/>
        </is>
      </c>
    </row>
    <row r="5" ht="40" customHeight="1">
      <c r="A5" s="13" t="inlineStr">
        <is>
          <t>002</t>
        </is>
      </c>
      <c r="B5" s="13" t="inlineStr">
        <is>
          <t>M1</t>
        </is>
      </c>
      <c r="C5" s="4" t="inlineStr">
        <is>
          <t>订单状态机完备</t>
        </is>
      </c>
      <c r="D5" s="4" t="inlineStr">
        <is>
          <t>枚举与代码一致；任意状态都有超时/取消/异常出口</t>
        </is>
      </c>
      <c r="E5" s="4" t="inlineStr">
        <is>
          <t xml:space="preserve">_shared/order_state.js ALL_STATES/TRANSITIONS</t>
        </is>
      </c>
      <c r="F5" s="13" t="inlineStr">
        <is>
          <t xml:space="preserve">通过</t>
        </is>
      </c>
      <c r="G5" s="14" t="inlineStr">
        <is>
          <t xml:space="preserve"/>
        </is>
      </c>
      <c r="H5" s="13" t="inlineStr">
        <is>
          <t xml:space="preserve"/>
        </is>
      </c>
      <c r="I5" s="4" t="inlineStr">
        <is>
          <t xml:space="preserve"/>
        </is>
      </c>
    </row>
    <row r="6" ht="40" customHeight="1">
      <c r="A6" s="13" t="inlineStr">
        <is>
          <t>003</t>
        </is>
      </c>
      <c r="B6" s="13" t="inlineStr">
        <is>
          <t>M1</t>
        </is>
      </c>
      <c r="C6" s="4" t="inlineStr">
        <is>
          <t>接单/抢单兜底</t>
        </is>
      </c>
      <c r="D6" s="4" t="inlineStr">
        <is>
          <t>无人接单、接单超时、并发抢单双受理如何处理</t>
        </is>
      </c>
      <c r="E6" s="4" t="inlineStr">
        <is>
          <t xml:space="preserve">order-create L23-57 锁 fail-open; take_rules L133-144 距离门禁不校验 accuracy</t>
        </is>
      </c>
      <c r="F6" s="13" t="inlineStr">
        <is>
          <t xml:space="preserve">不通过</t>
        </is>
      </c>
      <c r="G6" s="14" t="inlineStr">
        <is>
          <t xml:space="preserve">P1</t>
        </is>
      </c>
      <c r="H6" s="13" t="inlineStr">
        <is>
          <t xml:space="preserve">ISS-004/005</t>
        </is>
      </c>
      <c r="I6" s="4" t="inlineStr">
        <is>
          <t xml:space="preserve">接单锁 fail-closed + 接单侧 accuracy/GCJ-02 校验</t>
        </is>
      </c>
    </row>
    <row r="7" ht="40" customHeight="1">
      <c r="A7" s="13" t="inlineStr">
        <is>
          <t>004</t>
        </is>
      </c>
      <c r="B7" s="13" t="inlineStr">
        <is>
          <t>M1</t>
        </is>
      </c>
      <c r="C7" s="4" t="inlineStr">
        <is>
          <t>履约开始与结束有明确触发</t>
        </is>
      </c>
      <c r="D7" s="4" t="inlineStr">
        <is>
          <t>谁按「开始」、谁按「完成」，能否单方改状态</t>
        </is>
      </c>
      <c r="E7" s="4" t="inlineStr">
        <is>
          <t xml:space="preserve">order_state.no23-30 双确认</t>
        </is>
      </c>
      <c r="F7" s="13" t="inlineStr">
        <is>
          <t xml:space="preserve">通过</t>
        </is>
      </c>
      <c r="G7" s="14" t="inlineStr">
        <is>
          <t xml:space="preserve"/>
        </is>
      </c>
      <c r="H7" s="13" t="inlineStr">
        <is>
          <t xml:space="preserve"/>
        </is>
      </c>
      <c r="I7" s="4" t="inlineStr">
        <is>
          <t xml:space="preserve"/>
        </is>
      </c>
    </row>
    <row r="8" ht="40" customHeight="1">
      <c r="A8" s="13" t="inlineStr">
        <is>
          <t>005</t>
        </is>
      </c>
      <c r="B8" s="13" t="inlineStr">
        <is>
          <t>M1</t>
        </is>
      </c>
      <c r="C8" s="4" t="inlineStr">
        <is>
          <t>完成确认与自动完成</t>
        </is>
      </c>
      <c r="D8" s="4" t="inlineStr">
        <is>
          <t>用户确认完成 / N 天自动完成 / 自动完成后能否申诉</t>
        </is>
      </c>
      <c r="E8" s="4" t="inlineStr">
        <is>
          <t xml:space="preserve">order_state.no15 + order-timer auto_done</t>
        </is>
      </c>
      <c r="F8" s="13" t="inlineStr">
        <is>
          <t xml:space="preserve">通过</t>
        </is>
      </c>
      <c r="G8" s="15" t="inlineStr">
        <is>
          <t xml:space="preserve"/>
        </is>
      </c>
      <c r="H8" s="13" t="inlineStr">
        <is>
          <t xml:space="preserve"/>
        </is>
      </c>
      <c r="I8" s="4" t="inlineStr">
        <is>
          <t xml:space="preserve">自动完成后保留申诉窗口</t>
        </is>
      </c>
    </row>
    <row r="9" ht="40" customHeight="1">
      <c r="A9" s="13" t="inlineStr">
        <is>
          <t>006</t>
        </is>
      </c>
      <c r="B9" s="13" t="inlineStr">
        <is>
          <t>M1</t>
        </is>
      </c>
      <c r="C9" s="4" t="inlineStr">
        <is>
          <t>取消与逆向流程</t>
        </is>
      </c>
      <c r="D9" s="4" t="inlineStr">
        <is>
          <t>各状态是否允许取消，取消后券、库存、锁定资源是否回滚</t>
        </is>
      </c>
      <c r="E9" s="4" t="inlineStr">
        <is>
          <t xml:space="preserve">order_state.no3/no4 取消梯度退款</t>
        </is>
      </c>
      <c r="F9" s="13" t="inlineStr">
        <is>
          <t xml:space="preserve">通过</t>
        </is>
      </c>
      <c r="G9" s="14" t="inlineStr">
        <is>
          <t xml:space="preserve"/>
        </is>
      </c>
      <c r="H9" s="13" t="inlineStr">
        <is>
          <t xml:space="preserve"/>
        </is>
      </c>
      <c r="I9" s="4" t="inlineStr">
        <is>
          <t xml:space="preserve"/>
        </is>
      </c>
    </row>
    <row r="10" ht="22" customHeight="1">
      <c r="A10" s="12" t="inlineStr">
        <is>
          <t>M2 资金与计费</t>
        </is>
      </c>
    </row>
    <row r="11" ht="40" customHeight="1">
      <c r="A11" s="13" t="inlineStr">
        <is>
          <t>007</t>
        </is>
      </c>
      <c r="B11" s="13" t="inlineStr">
        <is>
          <t>M2</t>
        </is>
      </c>
      <c r="C11" s="4" t="inlineStr">
        <is>
          <t>价格计算唯一口径</t>
        </is>
      </c>
      <c r="D11" s="4" t="inlineStr">
        <is>
          <t>前端展示价、下单价、支付价、结算价四处一致，无前端算完后端不复核</t>
        </is>
      </c>
      <c r="E11" s="4" t="inlineStr">
        <is>
          <t xml:space="preserve">money_rules.splitOrderAmount 服务端单一</t>
        </is>
      </c>
      <c r="F11" s="13" t="inlineStr">
        <is>
          <t xml:space="preserve">通过</t>
        </is>
      </c>
      <c r="G11" s="14" t="inlineStr">
        <is>
          <t xml:space="preserve"/>
        </is>
      </c>
      <c r="H11" s="13" t="inlineStr">
        <is>
          <t xml:space="preserve"/>
        </is>
      </c>
      <c r="I11" s="4" t="inlineStr">
        <is>
          <t xml:space="preserve"/>
        </is>
      </c>
    </row>
    <row r="12" ht="40" customHeight="1">
      <c r="A12" s="13" t="inlineStr">
        <is>
          <t>008</t>
        </is>
      </c>
      <c r="B12" s="13" t="inlineStr">
        <is>
          <t>M2</t>
        </is>
      </c>
      <c r="C12" s="4" t="inlineStr">
        <is>
          <t>重复支付/重复扣款防护</t>
        </is>
      </c>
      <c r="D12" s="4" t="inlineStr">
        <is>
          <t>同一订单幂等键、微信支付 out_trade_no 复用与回调去重</t>
        </is>
      </c>
      <c r="E12" s="4" t="inlineStr">
        <is>
          <t xml:space="preserve">order-create L117-128 order_no 唯一 + action_pay 幂等/CAS</t>
        </is>
      </c>
      <c r="F12" s="13" t="inlineStr">
        <is>
          <t xml:space="preserve">通过</t>
        </is>
      </c>
      <c r="G12" s="14" t="inlineStr">
        <is>
          <t xml:space="preserve"/>
        </is>
      </c>
      <c r="H12" s="13" t="inlineStr">
        <is>
          <t xml:space="preserve">008复核</t>
        </is>
      </c>
      <c r="I12" s="4" t="inlineStr">
        <is>
          <t xml:space="preserve">pay_transaction 补唯一索引（现仅 idx_order_id）</t>
        </is>
      </c>
    </row>
    <row r="13" ht="40" customHeight="1">
      <c r="A13" s="13" t="inlineStr">
        <is>
          <t>009</t>
        </is>
      </c>
      <c r="B13" s="13" t="inlineStr">
        <is>
          <t>M2</t>
        </is>
      </c>
      <c r="C13" s="4" t="inlineStr">
        <is>
          <t>优惠券/满减叠加规则</t>
        </is>
      </c>
      <c r="D13" s="4" t="inlineStr">
        <is>
          <t>互斥、叠加上限、券后价为负、退款后券是否返还</t>
        </is>
      </c>
      <c r="E13" s="4" t="inlineStr">
        <is>
          <t xml:space="preserve">无 coupon 集合/字段</t>
        </is>
      </c>
      <c r="F13" s="13" t="inlineStr">
        <is>
          <t xml:space="preserve">待确认</t>
        </is>
      </c>
      <c r="G13" s="15" t="inlineStr">
        <is>
          <t xml:space="preserve"/>
        </is>
      </c>
      <c r="H13" s="13" t="inlineStr">
        <is>
          <t xml:space="preserve">ISS-008</t>
        </is>
      </c>
      <c r="I13" s="4" t="inlineStr">
        <is>
          <t xml:space="preserve">明确是否本期不做优惠券</t>
        </is>
      </c>
    </row>
    <row r="14" ht="40" customHeight="1">
      <c r="A14" s="13" t="inlineStr">
        <is>
          <t>010</t>
        </is>
      </c>
      <c r="B14" s="13" t="inlineStr">
        <is>
          <t>M2</t>
        </is>
      </c>
      <c r="C14" s="4" t="inlineStr">
        <is>
          <t>平台抽佣与分账</t>
        </is>
      </c>
      <c r="D14" s="4" t="inlineStr">
        <is>
          <t>抽佣基数（含运费？含券补？）、分账比例精度、负数/零值边界</t>
        </is>
      </c>
      <c r="E14" s="4" t="inlineStr">
        <is>
          <t xml:space="preserve">money_rules DEFAULT_FEE_RATE_FEN=1000 单一费率</t>
        </is>
      </c>
      <c r="F14" s="13" t="inlineStr">
        <is>
          <t xml:space="preserve">不通过</t>
        </is>
      </c>
      <c r="G14" s="14" t="inlineStr">
        <is>
          <t xml:space="preserve">P0</t>
        </is>
      </c>
      <c r="H14" s="13" t="inlineStr">
        <is>
          <t xml:space="preserve">ISS-001/012</t>
        </is>
      </c>
      <c r="I14" s="4" t="inlineStr">
        <is>
          <t xml:space="preserve">定资金路由；补分场景佣金或明确单一费率</t>
        </is>
      </c>
    </row>
    <row r="15" ht="40" customHeight="1">
      <c r="A15" s="13" t="inlineStr">
        <is>
          <t>011</t>
        </is>
      </c>
      <c r="B15" s="13" t="inlineStr">
        <is>
          <t>M2</t>
        </is>
      </c>
      <c r="C15" s="4" t="inlineStr">
        <is>
          <t>预付款冻结与结算时机</t>
        </is>
      </c>
      <c r="D15" s="4" t="inlineStr">
        <is>
          <t>未履约不结算；完成/仲裁后才放行，不存在平台提前垫资敞口</t>
        </is>
      </c>
      <c r="E15" s="4" t="inlineStr">
        <is>
          <t xml:space="preserve">action_pay mock_pay 冻结 + order-timer settle</t>
        </is>
      </c>
      <c r="F15" s="13" t="inlineStr">
        <is>
          <t xml:space="preserve">通过</t>
        </is>
      </c>
      <c r="G15" s="14" t="inlineStr">
        <is>
          <t xml:space="preserve"/>
        </is>
      </c>
      <c r="H15" s="13" t="inlineStr">
        <is>
          <t xml:space="preserve"/>
        </is>
      </c>
      <c r="I15" s="4" t="inlineStr">
        <is>
          <t xml:space="preserve"/>
        </is>
      </c>
    </row>
    <row r="16" ht="40" customHeight="1">
      <c r="A16" s="13" t="inlineStr">
        <is>
          <t>012</t>
        </is>
      </c>
      <c r="B16" s="13" t="inlineStr">
        <is>
          <t>M2</t>
        </is>
      </c>
      <c r="C16" s="4" t="inlineStr">
        <is>
          <t>退款完整性</t>
        </is>
      </c>
      <c r="D16" s="4" t="inlineStr">
        <is>
          <t>部分退、多次退、超时自动退、手续费承担、原路返回失败重试</t>
        </is>
      </c>
      <c r="E16" s="4" t="inlineStr">
        <is>
          <t xml:space="preserve">money_rules 退款上限/梯度 + action_pay 原路返回</t>
        </is>
      </c>
      <c r="F16" s="13" t="inlineStr">
        <is>
          <t xml:space="preserve">通过</t>
        </is>
      </c>
      <c r="G16" s="14" t="inlineStr">
        <is>
          <t xml:space="preserve"/>
        </is>
      </c>
      <c r="H16" s="13" t="inlineStr">
        <is>
          <t xml:space="preserve"/>
        </is>
      </c>
      <c r="I16" s="4" t="inlineStr">
        <is>
          <t xml:space="preserve"/>
        </is>
      </c>
    </row>
    <row r="17" ht="40" customHeight="1">
      <c r="A17" s="13" t="inlineStr">
        <is>
          <t>013</t>
        </is>
      </c>
      <c r="B17" s="13" t="inlineStr">
        <is>
          <t>M2</t>
        </is>
      </c>
      <c r="C17" s="4" t="inlineStr">
        <is>
          <t>爽约与违约金</t>
        </is>
      </c>
      <c r="D17" s="4" t="inlineStr">
        <is>
          <t>谁判定爽约、扣哪方、上限多少、是否可申诉、重复扣罚</t>
        </is>
      </c>
      <c r="E17" s="4" t="inlineStr">
        <is>
          <t xml:space="preserve">no_show_rules L43-81 零赔付 + order_state.no21</t>
        </is>
      </c>
      <c r="F17" s="13" t="inlineStr">
        <is>
          <t xml:space="preserve">不通过</t>
        </is>
      </c>
      <c r="G17" s="14" t="inlineStr">
        <is>
          <t xml:space="preserve">P1</t>
        </is>
      </c>
      <c r="H17" s="13" t="inlineStr">
        <is>
          <t xml:space="preserve">ISS-003</t>
        </is>
      </c>
      <c r="I17" s="4" t="inlineStr">
        <is>
          <t xml:space="preserve">补自动爽约判定+限时退款兜底</t>
        </is>
      </c>
    </row>
    <row r="18" ht="40" customHeight="1">
      <c r="A18" s="13" t="inlineStr">
        <is>
          <t>014</t>
        </is>
      </c>
      <c r="B18" s="13" t="inlineStr">
        <is>
          <t>M2</t>
        </is>
      </c>
      <c r="C18" s="4" t="inlineStr">
        <is>
          <t>金额精度与单位</t>
        </is>
      </c>
      <c r="D18" s="4" t="inlineStr">
        <is>
          <t>元/分统一，round 口径一致，禁用浮点直接加减</t>
        </is>
      </c>
      <c r="E18" s="4" t="inlineStr">
        <is>
          <t xml:space="preserve">money_rules 统一分/round</t>
        </is>
      </c>
      <c r="F18" s="13" t="inlineStr">
        <is>
          <t xml:space="preserve">通过</t>
        </is>
      </c>
      <c r="G18" s="15" t="inlineStr">
        <is>
          <t xml:space="preserve"/>
        </is>
      </c>
      <c r="H18" s="13" t="inlineStr">
        <is>
          <t xml:space="preserve"/>
        </is>
      </c>
      <c r="I18" s="4" t="inlineStr">
        <is>
          <t xml:space="preserve"/>
        </is>
      </c>
    </row>
    <row r="19" ht="22" customHeight="1">
      <c r="A19" s="12" t="inlineStr">
        <is>
          <t>M3 权限与越权</t>
        </is>
      </c>
    </row>
    <row r="20" ht="40" customHeight="1">
      <c r="A20" s="13" t="inlineStr">
        <is>
          <t>015</t>
        </is>
      </c>
      <c r="B20" s="13" t="inlineStr">
        <is>
          <t>M3</t>
        </is>
      </c>
      <c r="C20" s="4" t="inlineStr">
        <is>
          <t>角色权限隔离</t>
        </is>
      </c>
      <c r="D20" s="4" t="inlineStr">
        <is>
          <t>普通用户不能调服务者接口，运营不能改自己的订单</t>
        </is>
      </c>
      <c r="E20" s="4" t="inlineStr">
        <is>
          <t xml:space="preserve">partner-apply L218 pending_review 不授 partner 角色</t>
        </is>
      </c>
      <c r="F20" s="13" t="inlineStr">
        <is>
          <t xml:space="preserve">通过</t>
        </is>
      </c>
      <c r="G20" s="14" t="inlineStr">
        <is>
          <t xml:space="preserve"/>
        </is>
      </c>
      <c r="H20" s="13" t="inlineStr">
        <is>
          <t xml:space="preserve"/>
        </is>
      </c>
      <c r="I20" s="4" t="inlineStr">
        <is>
          <t xml:space="preserve"/>
        </is>
      </c>
    </row>
    <row r="21" ht="40" customHeight="1">
      <c r="A21" s="13" t="inlineStr">
        <is>
          <t>016</t>
        </is>
      </c>
      <c r="B21" s="13" t="inlineStr">
        <is>
          <t>M3</t>
        </is>
      </c>
      <c r="C21" s="4" t="inlineStr">
        <is>
          <t>水平越权防护</t>
        </is>
      </c>
      <c r="D21" s="4" t="inlineStr">
        <is>
          <t>orderId 可遍历？A 用户看不到/改不了 B 的订单与隐私字段</t>
        </is>
      </c>
      <c r="E21" s="4" t="inlineStr">
        <is>
          <t xml:space="preserve">订单读取/操作按 openid 鉴权</t>
        </is>
      </c>
      <c r="F21" s="13" t="inlineStr">
        <is>
          <t xml:space="preserve">通过</t>
        </is>
      </c>
      <c r="G21" s="14" t="inlineStr">
        <is>
          <t xml:space="preserve"/>
        </is>
      </c>
      <c r="H21" s="13" t="inlineStr">
        <is>
          <t xml:space="preserve"/>
        </is>
      </c>
      <c r="I21" s="4" t="inlineStr">
        <is>
          <t xml:space="preserve">真机越权单测复核</t>
        </is>
      </c>
    </row>
    <row r="22" ht="40" customHeight="1">
      <c r="A22" s="13" t="inlineStr">
        <is>
          <t>017</t>
        </is>
      </c>
      <c r="B22" s="13" t="inlineStr">
        <is>
          <t>M3</t>
        </is>
      </c>
      <c r="C22" s="4" t="inlineStr">
        <is>
          <t>状态操作鉴权</t>
        </is>
      </c>
      <c r="D22" s="4" t="inlineStr">
        <is>
          <t>只有持有者/接单者可推进对应状态，禁止直接改枚举绕过</t>
        </is>
      </c>
      <c r="E22" s="4" t="inlineStr">
        <is>
          <t xml:space="preserve">order_state.casTransition + TRANSITIONS.role</t>
        </is>
      </c>
      <c r="F22" s="13" t="inlineStr">
        <is>
          <t xml:space="preserve">通过</t>
        </is>
      </c>
      <c r="G22" s="14" t="inlineStr">
        <is>
          <t xml:space="preserve"/>
        </is>
      </c>
      <c r="H22" s="13" t="inlineStr">
        <is>
          <t xml:space="preserve"/>
        </is>
      </c>
      <c r="I22" s="4" t="inlineStr">
        <is>
          <t xml:space="preserve"/>
        </is>
      </c>
    </row>
    <row r="23" ht="40" customHeight="1">
      <c r="A23" s="13" t="inlineStr">
        <is>
          <t>018</t>
        </is>
      </c>
      <c r="B23" s="13" t="inlineStr">
        <is>
          <t>M3</t>
        </is>
      </c>
      <c r="C23" s="4" t="inlineStr">
        <is>
          <t>后台操作留痕</t>
        </is>
      </c>
      <c r="D23" s="4" t="inlineStr">
        <is>
          <t>运营改价、强制完成、退款、封号均有操作人与日志</t>
        </is>
      </c>
      <c r="E23" s="4" t="inlineStr">
        <is>
          <t xml:space="preserve">audit_log + config_history + platform_event</t>
        </is>
      </c>
      <c r="F23" s="13" t="inlineStr">
        <is>
          <t xml:space="preserve">通过</t>
        </is>
      </c>
      <c r="G23" s="15" t="inlineStr">
        <is>
          <t xml:space="preserve"/>
        </is>
      </c>
      <c r="H23" s="13" t="inlineStr">
        <is>
          <t xml:space="preserve"/>
        </is>
      </c>
      <c r="I23" s="4" t="inlineStr">
        <is>
          <t xml:space="preserve"/>
        </is>
      </c>
    </row>
    <row r="24" ht="40" customHeight="1">
      <c r="A24" s="13" t="inlineStr">
        <is>
          <t>019</t>
        </is>
      </c>
      <c r="B24" s="13" t="inlineStr">
        <is>
          <t>M3</t>
        </is>
      </c>
      <c r="C24" s="4" t="inlineStr">
        <is>
          <t>小程序登录态与失效</t>
        </is>
      </c>
      <c r="D24" s="4" t="inlineStr">
        <is>
          <t>session_key 失效、换设备、多端登录的处理</t>
        </is>
      </c>
      <c r="E24" s="4" t="inlineStr">
        <is>
          <t xml:space="preserve">小程序 openid + admin-web 会话 12h（03-data-model）</t>
        </is>
      </c>
      <c r="F24" s="13" t="inlineStr">
        <is>
          <t xml:space="preserve">待确认</t>
        </is>
      </c>
      <c r="G24" s="15" t="inlineStr">
        <is>
          <t xml:space="preserve"/>
        </is>
      </c>
      <c r="H24" s="13" t="inlineStr">
        <is>
          <t xml:space="preserve"/>
        </is>
      </c>
      <c r="I24" s="4" t="inlineStr">
        <is>
          <t xml:space="preserve"/>
        </is>
      </c>
    </row>
    <row r="25" ht="22" customHeight="1">
      <c r="A25" s="12" t="inlineStr">
        <is>
          <t>M4 数据一致性与并发</t>
        </is>
      </c>
    </row>
    <row r="26" ht="40" customHeight="1">
      <c r="A26" s="13" t="inlineStr">
        <is>
          <t>020</t>
        </is>
      </c>
      <c r="B26" s="13" t="inlineStr">
        <is>
          <t>M4</t>
        </is>
      </c>
      <c r="C26" s="4" t="inlineStr">
        <is>
          <t>下单与库存/名额原子性</t>
        </is>
      </c>
      <c r="D26" s="4" t="inlineStr">
        <is>
          <t>超卖、重复占位、幻读，事务或 Redis 锁是否到位</t>
        </is>
      </c>
      <c r="E26" s="4" t="inlineStr">
        <is>
          <t xml:space="preserve">order-create acquireTakeLock 异常 fail-open/无 user_account 放行</t>
        </is>
      </c>
      <c r="F26" s="13" t="inlineStr">
        <is>
          <t xml:space="preserve">不通过</t>
        </is>
      </c>
      <c r="G26" s="14" t="inlineStr">
        <is>
          <t xml:space="preserve">P1</t>
        </is>
      </c>
      <c r="H26" s="13" t="inlineStr">
        <is>
          <t xml:space="preserve">ISS-004</t>
        </is>
      </c>
      <c r="I26" s="4" t="inlineStr">
        <is>
          <t xml:space="preserve">锁失败 fail-closed</t>
        </is>
      </c>
    </row>
    <row r="27" ht="40" customHeight="1">
      <c r="A27" s="13" t="inlineStr">
        <is>
          <t>021</t>
        </is>
      </c>
      <c r="B27" s="13" t="inlineStr">
        <is>
          <t>M4</t>
        </is>
      </c>
      <c r="C27" s="4" t="inlineStr">
        <is>
          <t>支付回调与状态覆盖</t>
        </is>
      </c>
      <c r="D27" s="4" t="inlineStr">
        <is>
          <t>回调晚到/重复到，不会把「已退款/已取消」覆盖成「已支付」</t>
        </is>
      </c>
      <c r="E27" s="4" t="inlineStr">
        <is>
          <t xml:space="preserve">action_pay 幂等 + CAS 防状态覆盖</t>
        </is>
      </c>
      <c r="F27" s="13" t="inlineStr">
        <is>
          <t xml:space="preserve">通过</t>
        </is>
      </c>
      <c r="G27" s="14" t="inlineStr">
        <is>
          <t xml:space="preserve"/>
        </is>
      </c>
      <c r="H27" s="13" t="inlineStr">
        <is>
          <t xml:space="preserve"/>
        </is>
      </c>
      <c r="I27" s="4" t="inlineStr">
        <is>
          <t xml:space="preserve"/>
        </is>
      </c>
    </row>
    <row r="28" ht="40" customHeight="1">
      <c r="A28" s="13" t="inlineStr">
        <is>
          <t>022</t>
        </is>
      </c>
      <c r="B28" s="13" t="inlineStr">
        <is>
          <t>M4</t>
        </is>
      </c>
      <c r="C28" s="4" t="inlineStr">
        <is>
          <t>并发操作顺序</t>
        </is>
      </c>
      <c r="D28" s="4" t="inlineStr">
        <is>
          <t>双方同时取消+确认完成、同时退款的最终态是否确定</t>
        </is>
      </c>
      <c r="E28" s="4" t="inlineStr">
        <is>
          <t xml:space="preserve">CAS 乐观锁最终态唯一</t>
        </is>
      </c>
      <c r="F28" s="13" t="inlineStr">
        <is>
          <t xml:space="preserve">通过</t>
        </is>
      </c>
      <c r="G28" s="14" t="inlineStr">
        <is>
          <t xml:space="preserve"/>
        </is>
      </c>
      <c r="H28" s="13" t="inlineStr">
        <is>
          <t xml:space="preserve"/>
        </is>
      </c>
      <c r="I28" s="4" t="inlineStr">
        <is>
          <t xml:space="preserve"/>
        </is>
      </c>
    </row>
    <row r="29" ht="40" customHeight="1">
      <c r="A29" s="13" t="inlineStr">
        <is>
          <t>023</t>
        </is>
      </c>
      <c r="B29" s="13" t="inlineStr">
        <is>
          <t>M4</t>
        </is>
      </c>
      <c r="C29" s="4" t="inlineStr">
        <is>
          <t>本地状态与云端一致</t>
        </is>
      </c>
      <c r="D29" s="4" t="inlineStr">
        <is>
          <t>断网重试、页面栈返回后是否重新拉取最新订单</t>
        </is>
      </c>
      <c r="E29" s="4" t="inlineStr">
        <is>
          <t xml:space="preserve">前端以云端 status 为准</t>
        </is>
      </c>
      <c r="F29" s="13" t="inlineStr">
        <is>
          <t xml:space="preserve">通过</t>
        </is>
      </c>
      <c r="G29" s="15" t="inlineStr">
        <is>
          <t xml:space="preserve"/>
        </is>
      </c>
      <c r="H29" s="13" t="inlineStr">
        <is>
          <t xml:space="preserve"/>
        </is>
      </c>
      <c r="I29" s="4" t="inlineStr">
        <is>
          <t xml:space="preserve"/>
        </is>
      </c>
    </row>
    <row r="30" ht="40" customHeight="1">
      <c r="A30" s="13" t="inlineStr">
        <is>
          <t>024</t>
        </is>
      </c>
      <c r="B30" s="13" t="inlineStr">
        <is>
          <t>M4</t>
        </is>
      </c>
      <c r="C30" s="4" t="inlineStr">
        <is>
          <t>幂等键设计</t>
        </is>
      </c>
      <c r="D30" s="4" t="inlineStr">
        <is>
          <t>创建订单、发券、结算、发消息均有唯一键防重</t>
        </is>
      </c>
      <c r="E30" s="4" t="inlineStr">
        <is>
          <t xml:space="preserve">order_no 唯一 + dup_key 重试</t>
        </is>
      </c>
      <c r="F30" s="13" t="inlineStr">
        <is>
          <t xml:space="preserve">通过</t>
        </is>
      </c>
      <c r="G30" s="14" t="inlineStr">
        <is>
          <t xml:space="preserve"/>
        </is>
      </c>
      <c r="H30" s="13" t="inlineStr">
        <is>
          <t xml:space="preserve"/>
        </is>
      </c>
      <c r="I30" s="4" t="inlineStr">
        <is>
          <t xml:space="preserve"/>
        </is>
      </c>
    </row>
    <row r="31" ht="22" customHeight="1">
      <c r="A31" s="12" t="inlineStr">
        <is>
          <t>M5 异常处理与降级</t>
        </is>
      </c>
    </row>
    <row r="32" ht="40" customHeight="1">
      <c r="A32" s="13" t="inlineStr">
        <is>
          <t>025</t>
        </is>
      </c>
      <c r="B32" s="13" t="inlineStr">
        <is>
          <t>M5</t>
        </is>
      </c>
      <c r="C32" s="4" t="inlineStr">
        <is>
          <t>接口超时/失败兜底</t>
        </is>
      </c>
      <c r="D32" s="4" t="inlineStr">
        <is>
          <t>支付中、下单中、定位失败的 loading 与重试、不丢单</t>
        </is>
      </c>
      <c r="E32" s="4" t="inlineStr">
        <is>
          <t xml:space="preserve">order-timer 30min/轮（2026-10-28 降频） &gt; 15min 阈值</t>
        </is>
      </c>
      <c r="F32" s="13" t="inlineStr">
        <is>
          <t xml:space="preserve">不通过</t>
        </is>
      </c>
      <c r="G32" s="15" t="inlineStr">
        <is>
          <t xml:space="preserve">P2</t>
        </is>
      </c>
      <c r="H32" s="13" t="inlineStr">
        <is>
          <t xml:space="preserve">ISS-009</t>
        </is>
      </c>
      <c r="I32" s="4" t="inlineStr">
        <is>
          <t xml:space="preserve">恢复高频或按阈值动态触达</t>
        </is>
      </c>
    </row>
    <row r="33" ht="40" customHeight="1">
      <c r="A33" s="13" t="inlineStr">
        <is>
          <t>026</t>
        </is>
      </c>
      <c r="B33" s="13" t="inlineStr">
        <is>
          <t>M5</t>
        </is>
      </c>
      <c r="C33" s="4" t="inlineStr">
        <is>
          <t>第三方依赖降级</t>
        </is>
      </c>
      <c r="D33" s="4" t="inlineStr">
        <is>
          <t>地图/IM/支付挂了时的降级路径与用户提示</t>
        </is>
      </c>
      <c r="E33" s="4" t="inlineStr">
        <is>
          <t xml:space="preserve">地图/IM/支付有降级提示</t>
        </is>
      </c>
      <c r="F33" s="13" t="inlineStr">
        <is>
          <t xml:space="preserve">通过</t>
        </is>
      </c>
      <c r="G33" s="15" t="inlineStr">
        <is>
          <t xml:space="preserve"/>
        </is>
      </c>
      <c r="H33" s="13" t="inlineStr">
        <is>
          <t xml:space="preserve"/>
        </is>
      </c>
      <c r="I33" s="4" t="inlineStr">
        <is>
          <t xml:space="preserve"/>
        </is>
      </c>
    </row>
    <row r="34" ht="40" customHeight="1">
      <c r="A34" s="13" t="inlineStr">
        <is>
          <t>027</t>
        </is>
      </c>
      <c r="B34" s="13" t="inlineStr">
        <is>
          <t>M5</t>
        </is>
      </c>
      <c r="C34" s="4" t="inlineStr">
        <is>
          <t>重复提交防抖</t>
        </is>
      </c>
      <c r="D34" s="4" t="inlineStr">
        <is>
          <t>快速双击下单、点赞、申请退款只生效一次</t>
        </is>
      </c>
      <c r="E34" s="4" t="inlineStr">
        <is>
          <t xml:space="preserve">前端防抖 + 后端幂等</t>
        </is>
      </c>
      <c r="F34" s="13" t="inlineStr">
        <is>
          <t xml:space="preserve">通过</t>
        </is>
      </c>
      <c r="G34" s="15" t="inlineStr">
        <is>
          <t xml:space="preserve"/>
        </is>
      </c>
      <c r="H34" s="13" t="inlineStr">
        <is>
          <t xml:space="preserve"/>
        </is>
      </c>
      <c r="I34" s="4" t="inlineStr">
        <is>
          <t xml:space="preserve"/>
        </is>
      </c>
    </row>
    <row r="35" ht="40" customHeight="1">
      <c r="A35" s="13" t="inlineStr">
        <is>
          <t>028</t>
        </is>
      </c>
      <c r="B35" s="13" t="inlineStr">
        <is>
          <t>M5</t>
        </is>
      </c>
      <c r="C35" s="4" t="inlineStr">
        <is>
          <t>极端输入</t>
        </is>
      </c>
      <c r="D35" s="4" t="inlineStr">
        <is>
          <t>超长昵称、emoji、负数数量、0 元单、金额上限</t>
        </is>
      </c>
      <c r="E35" s="4" t="inlineStr">
        <is>
          <t xml:space="preserve">金额/长度/上限校验（CONFIG_SCHEMA + enums）</t>
        </is>
      </c>
      <c r="F35" s="13" t="inlineStr">
        <is>
          <t xml:space="preserve">通过</t>
        </is>
      </c>
      <c r="G35" s="16" t="inlineStr">
        <is>
          <t xml:space="preserve"/>
        </is>
      </c>
      <c r="H35" s="13" t="inlineStr">
        <is>
          <t xml:space="preserve"/>
        </is>
      </c>
      <c r="I35" s="4" t="inlineStr">
        <is>
          <t xml:space="preserve"/>
        </is>
      </c>
    </row>
    <row r="36" ht="40" customHeight="1">
      <c r="A36" s="13" t="inlineStr">
        <is>
          <t>029</t>
        </is>
      </c>
      <c r="B36" s="13" t="inlineStr">
        <is>
          <t>M5</t>
        </is>
      </c>
      <c r="C36" s="4" t="inlineStr">
        <is>
          <t>日志与告警</t>
        </is>
      </c>
      <c r="D36" s="4" t="inlineStr">
        <is>
          <t>资损链路（支付/退款/结算）有日志 + 阈值告警</t>
        </is>
      </c>
      <c r="E36" s="4" t="inlineStr">
        <is>
          <t xml:space="preserve">platform_event P0-P3</t>
        </is>
      </c>
      <c r="F36" s="13" t="inlineStr">
        <is>
          <t xml:space="preserve">通过</t>
        </is>
      </c>
      <c r="G36" s="15" t="inlineStr">
        <is>
          <t xml:space="preserve"/>
        </is>
      </c>
      <c r="H36" s="13" t="inlineStr">
        <is>
          <t xml:space="preserve"/>
        </is>
      </c>
      <c r="I36" s="4" t="inlineStr">
        <is>
          <t xml:space="preserve"/>
        </is>
      </c>
    </row>
    <row r="37" ht="22" customHeight="1">
      <c r="A37" s="12" t="inlineStr">
        <is>
          <t>M6 用户体验与流程一致性</t>
        </is>
      </c>
    </row>
    <row r="38" ht="40" customHeight="1">
      <c r="A38" s="13" t="inlineStr">
        <is>
          <t>030</t>
        </is>
      </c>
      <c r="B38" s="13" t="inlineStr">
        <is>
          <t>M6</t>
        </is>
      </c>
      <c r="C38" s="4" t="inlineStr">
        <is>
          <t>页面跳转与状态匹配</t>
        </is>
      </c>
      <c r="D38" s="4" t="inlineStr">
        <is>
          <t>支付成功后落地页按真实状态展示，别只信前端缓存</t>
        </is>
      </c>
      <c r="E38" s="4" t="inlineStr">
        <is>
          <t xml:space="preserve">enums.ORDER_STATUS 13 展示态 + normalizeStatus</t>
        </is>
      </c>
      <c r="F38" s="13" t="inlineStr">
        <is>
          <t xml:space="preserve">通过</t>
        </is>
      </c>
      <c r="G38" s="15" t="inlineStr">
        <is>
          <t xml:space="preserve"/>
        </is>
      </c>
      <c r="H38" s="13" t="inlineStr">
        <is>
          <t xml:space="preserve"/>
        </is>
      </c>
      <c r="I38" s="4" t="inlineStr">
        <is>
          <t xml:space="preserve"/>
        </is>
      </c>
    </row>
    <row r="39" ht="40" customHeight="1">
      <c r="A39" s="13" t="inlineStr">
        <is>
          <t>031</t>
        </is>
      </c>
      <c r="B39" s="13" t="inlineStr">
        <is>
          <t>M6</t>
        </is>
      </c>
      <c r="C39" s="4" t="inlineStr">
        <is>
          <t>空态/加载/错误态</t>
        </is>
      </c>
      <c r="D39" s="4" t="inlineStr">
        <is>
          <t>列表空、网络错、订单过期有明确引导</t>
        </is>
      </c>
      <c r="E39" s="4" t="inlineStr">
        <is>
          <t xml:space="preserve">空态/错误态有引导</t>
        </is>
      </c>
      <c r="F39" s="13" t="inlineStr">
        <is>
          <t xml:space="preserve">通过</t>
        </is>
      </c>
      <c r="G39" s="16" t="inlineStr">
        <is>
          <t xml:space="preserve"/>
        </is>
      </c>
      <c r="H39" s="13" t="inlineStr">
        <is>
          <t xml:space="preserve"/>
        </is>
      </c>
      <c r="I39" s="4" t="inlineStr">
        <is>
          <t xml:space="preserve"/>
        </is>
      </c>
    </row>
    <row r="40" ht="40" customHeight="1">
      <c r="A40" s="13" t="inlineStr">
        <is>
          <t>032</t>
        </is>
      </c>
      <c r="B40" s="13" t="inlineStr">
        <is>
          <t>M6</t>
        </is>
      </c>
      <c r="C40" s="4" t="inlineStr">
        <is>
          <t>文案与规则一致</t>
        </is>
      </c>
      <c r="D40" s="4" t="inlineStr">
        <is>
          <t>页面写的「30分钟免费取消」与后台规则、协议条款一致</t>
        </is>
      </c>
      <c r="E40" s="4" t="inlineStr">
        <is>
          <t xml:space="preserve">超时文案取 CONFIG.ORDER</t>
        </is>
      </c>
      <c r="F40" s="13" t="inlineStr">
        <is>
          <t xml:space="preserve">通过</t>
        </is>
      </c>
      <c r="G40" s="15" t="inlineStr">
        <is>
          <t xml:space="preserve"/>
        </is>
      </c>
      <c r="H40" s="13" t="inlineStr">
        <is>
          <t xml:space="preserve"/>
        </is>
      </c>
      <c r="I40" s="4" t="inlineStr">
        <is>
          <t xml:space="preserve"/>
        </is>
      </c>
    </row>
    <row r="41" ht="40" customHeight="1">
      <c r="A41" s="13" t="inlineStr">
        <is>
          <t>033</t>
        </is>
      </c>
      <c r="B41" s="13" t="inlineStr">
        <is>
          <t>M6</t>
        </is>
      </c>
      <c r="C41" s="4" t="inlineStr">
        <is>
          <t>撤销与二次确认</t>
        </is>
      </c>
      <c r="D41" s="4" t="inlineStr">
        <is>
          <t>取消、退款、删除、爽约标记有二次确认与冷却</t>
        </is>
      </c>
      <c r="E41" s="4" t="inlineStr">
        <is>
          <t xml:space="preserve">写操作二次确认（§13 防连点）</t>
        </is>
      </c>
      <c r="F41" s="13" t="inlineStr">
        <is>
          <t xml:space="preserve">通过</t>
        </is>
      </c>
      <c r="G41" s="16" t="inlineStr">
        <is>
          <t xml:space="preserve"/>
        </is>
      </c>
      <c r="H41" s="13" t="inlineStr">
        <is>
          <t xml:space="preserve"/>
        </is>
      </c>
      <c r="I41" s="4" t="inlineStr">
        <is>
          <t xml:space="preserve"/>
        </is>
      </c>
    </row>
    <row r="42" ht="40" customHeight="1">
      <c r="A42" s="13" t="inlineStr">
        <is>
          <t>034</t>
        </is>
      </c>
      <c r="B42" s="13" t="inlineStr">
        <is>
          <t>M6</t>
        </is>
      </c>
      <c r="C42" s="4" t="inlineStr">
        <is>
          <t>返回与页面栈</t>
        </is>
      </c>
      <c r="D42" s="4" t="inlineStr">
        <is>
          <t>支付回调返回、小程序左上角返回不重复触发流程</t>
        </is>
      </c>
      <c r="E42" s="4" t="inlineStr">
        <is>
          <t xml:space="preserve">navigateTo 栈深 ≤10 约束</t>
        </is>
      </c>
      <c r="F42" s="13" t="inlineStr">
        <is>
          <t xml:space="preserve">待确认</t>
        </is>
      </c>
      <c r="G42" s="15" t="inlineStr">
        <is>
          <t xml:space="preserve"/>
        </is>
      </c>
      <c r="H42" s="13" t="inlineStr">
        <is>
          <t xml:space="preserve"/>
        </is>
      </c>
      <c r="I42" s="4" t="inlineStr">
        <is>
          <t xml:space="preserve"/>
        </is>
      </c>
    </row>
    <row r="43" ht="22" customHeight="1">
      <c r="A43" s="12" t="inlineStr">
        <is>
          <t>M7 隐私、内容与合规</t>
        </is>
      </c>
    </row>
    <row r="44" ht="40" customHeight="1">
      <c r="A44" s="13" t="inlineStr">
        <is>
          <t>035</t>
        </is>
      </c>
      <c r="B44" s="13" t="inlineStr">
        <is>
          <t>M7</t>
        </is>
      </c>
      <c r="C44" s="4" t="inlineStr">
        <is>
          <t>最小必要信息收集</t>
        </is>
      </c>
      <c r="D44" s="4" t="inlineStr">
        <is>
          <t>位置、手机号、身份证是否按需申请，拒绝后降级可用</t>
        </is>
      </c>
      <c r="E44" s="4" t="inlineStr">
        <is>
          <t xml:space="preserve">user-login/action_account L181-183 prod face_mode=wx 一律拒绝、真实人脸未实现</t>
        </is>
      </c>
      <c r="F44" s="13" t="inlineStr">
        <is>
          <t xml:space="preserve">不通过</t>
        </is>
      </c>
      <c r="G44" s="14" t="inlineStr">
        <is>
          <t xml:space="preserve">P0</t>
        </is>
      </c>
      <c r="H44" s="13" t="inlineStr">
        <is>
          <t xml:space="preserve">ISS-002</t>
        </is>
      </c>
      <c r="I44" s="4" t="inlineStr">
        <is>
          <t xml:space="preserve">接入微信官方人脸核验</t>
        </is>
      </c>
    </row>
    <row r="45" ht="40" customHeight="1">
      <c r="A45" s="13" t="inlineStr">
        <is>
          <t>036</t>
        </is>
      </c>
      <c r="B45" s="13" t="inlineStr">
        <is>
          <t>M7</t>
        </is>
      </c>
      <c r="C45" s="4" t="inlineStr">
        <is>
          <t>聊天/图片内容安全</t>
        </is>
      </c>
      <c r="D45" s="4" t="inlineStr">
        <is>
          <t>IMG_SEC_CHECK / MSG_SEC_CHECK，敏感词、涉黄涉诈拦截</t>
        </is>
      </c>
      <c r="E45" s="4" t="inlineStr">
        <is>
          <t xml:space="preserve">im-send L152-177 msgSecCheck+违禁词 / L306-333 四确认前仅模板</t>
        </is>
      </c>
      <c r="F45" s="13" t="inlineStr">
        <is>
          <t xml:space="preserve">通过</t>
        </is>
      </c>
      <c r="G45" s="14" t="inlineStr">
        <is>
          <t xml:space="preserve"/>
        </is>
      </c>
      <c r="H45" s="13" t="inlineStr">
        <is>
          <t xml:space="preserve"/>
        </is>
      </c>
      <c r="I45" s="4" t="inlineStr">
        <is>
          <t xml:space="preserve"/>
        </is>
      </c>
    </row>
    <row r="46" ht="40" customHeight="1">
      <c r="A46" s="13" t="inlineStr">
        <is>
          <t>037</t>
        </is>
      </c>
      <c r="B46" s="13" t="inlineStr">
        <is>
          <t>M7</t>
        </is>
      </c>
      <c r="C46" s="4" t="inlineStr">
        <is>
          <t>隐私协议与授权</t>
        </is>
      </c>
      <c r="D46" s="4" t="inlineStr">
        <is>
          <t>《隐私保护指引》勾选、授权弹窗时机符合微信规范</t>
        </is>
      </c>
      <c r="E46" s="4" t="inlineStr">
        <is>
          <t xml:space="preserve">disclaimer_signature 免责/协议签署留证</t>
        </is>
      </c>
      <c r="F46" s="13" t="inlineStr">
        <is>
          <t xml:space="preserve">通过</t>
        </is>
      </c>
      <c r="G46" s="14" t="inlineStr">
        <is>
          <t xml:space="preserve"/>
        </is>
      </c>
      <c r="H46" s="13" t="inlineStr">
        <is>
          <t xml:space="preserve"/>
        </is>
      </c>
      <c r="I46" s="4" t="inlineStr">
        <is>
          <t xml:space="preserve"/>
        </is>
      </c>
    </row>
    <row r="47" ht="40" customHeight="1">
      <c r="A47" s="13" t="inlineStr">
        <is>
          <t>038</t>
        </is>
      </c>
      <c r="B47" s="13" t="inlineStr">
        <is>
          <t>M7</t>
        </is>
      </c>
      <c r="C47" s="4" t="inlineStr">
        <is>
          <t>脱敏与外导流管控</t>
        </is>
      </c>
      <c r="D47" s="4" t="inlineStr">
        <is>
          <t>手机号中间掩码、禁止留微信/二维码，证据留存</t>
        </is>
      </c>
      <c r="E47" s="4" t="inlineStr">
        <is>
          <t xml:space="preserve">手机掩码 + 禁外导流</t>
        </is>
      </c>
      <c r="F47" s="13" t="inlineStr">
        <is>
          <t xml:space="preserve">通过</t>
        </is>
      </c>
      <c r="G47" s="15" t="inlineStr">
        <is>
          <t xml:space="preserve"/>
        </is>
      </c>
      <c r="H47" s="13" t="inlineStr">
        <is>
          <t xml:space="preserve"/>
        </is>
      </c>
      <c r="I47" s="4" t="inlineStr">
        <is>
          <t xml:space="preserve"/>
        </is>
      </c>
    </row>
    <row r="48" ht="40" customHeight="1">
      <c r="A48" s="13" t="inlineStr">
        <is>
          <t>039</t>
        </is>
      </c>
      <c r="B48" s="13" t="inlineStr">
        <is>
          <t>M7</t>
        </is>
      </c>
      <c r="C48" s="4" t="inlineStr">
        <is>
          <t>行业红线场景</t>
        </is>
      </c>
      <c r="D48" s="4" t="inlineStr">
        <is>
          <t>医疗建议、金融导流、宠物伤人、未成年人等是否禁入或加资质</t>
        </is>
      </c>
      <c r="E48" s="4" t="inlineStr">
        <is>
          <t xml:space="preserve">enums.SCENES 医疗/宠物/情绪免责+认证非医疗声明</t>
        </is>
      </c>
      <c r="F48" s="13" t="inlineStr">
        <is>
          <t xml:space="preserve">通过</t>
        </is>
      </c>
      <c r="G48" s="14" t="inlineStr">
        <is>
          <t xml:space="preserve"/>
        </is>
      </c>
      <c r="H48" s="13" t="inlineStr">
        <is>
          <t xml:space="preserve"/>
        </is>
      </c>
      <c r="I48" s="4" t="inlineStr">
        <is>
          <t xml:space="preserve"/>
        </is>
      </c>
    </row>
    <row r="49" ht="40" customHeight="1">
      <c r="A49" s="13" t="inlineStr">
        <is>
          <t>040</t>
        </is>
      </c>
      <c r="B49" s="13" t="inlineStr">
        <is>
          <t>M7</t>
        </is>
      </c>
      <c r="C49" s="4" t="inlineStr">
        <is>
          <t>评价与举报机制</t>
        </is>
      </c>
      <c r="D49" s="4" t="inlineStr">
        <is>
          <t>恶意差评、虚假评价、举报入口与处置闭环</t>
        </is>
      </c>
      <c r="E49" s="4" t="inlineStr">
        <is>
          <t xml:space="preserve">credit_rules 单向扣分，无追评/改评/申诉撤销</t>
        </is>
      </c>
      <c r="F49" s="13" t="inlineStr">
        <is>
          <t xml:space="preserve">不通过</t>
        </is>
      </c>
      <c r="G49" s="15" t="inlineStr">
        <is>
          <t xml:space="preserve">P1</t>
        </is>
      </c>
      <c r="H49" s="13" t="inlineStr">
        <is>
          <t xml:space="preserve">ISS-007</t>
        </is>
      </c>
      <c r="I49" s="4" t="inlineStr">
        <is>
          <t xml:space="preserve">增加评价申诉+客服核销</t>
        </is>
      </c>
    </row>
    <row r="50" ht="22" customHeight="1">
      <c r="A50" s="12" t="inlineStr">
        <is>
          <t>M8 运营与商业化</t>
        </is>
      </c>
    </row>
    <row r="51" ht="40" customHeight="1">
      <c r="A51" s="13" t="inlineStr">
        <is>
          <t>041</t>
        </is>
      </c>
      <c r="B51" s="13" t="inlineStr">
        <is>
          <t>M8</t>
        </is>
      </c>
      <c r="C51" s="4" t="inlineStr">
        <is>
          <t>可配置化</t>
        </is>
      </c>
      <c r="D51" s="4" t="inlineStr">
        <is>
          <t>抽佣、超时时长、取消规则是否后台配置，改规则要不要发版</t>
        </is>
      </c>
      <c r="E51" s="4" t="inlineStr">
        <is>
          <t xml:space="preserve">admin_config 78 项可配</t>
        </is>
      </c>
      <c r="F51" s="13" t="inlineStr">
        <is>
          <t xml:space="preserve">通过</t>
        </is>
      </c>
      <c r="G51" s="15" t="inlineStr">
        <is>
          <t xml:space="preserve"/>
        </is>
      </c>
      <c r="H51" s="13" t="inlineStr">
        <is>
          <t xml:space="preserve"/>
        </is>
      </c>
      <c r="I51" s="4" t="inlineStr">
        <is>
          <t xml:space="preserve"/>
        </is>
      </c>
    </row>
    <row r="52" ht="40" customHeight="1">
      <c r="A52" s="13" t="inlineStr">
        <is>
          <t>042</t>
        </is>
      </c>
      <c r="B52" s="13" t="inlineStr">
        <is>
          <t>M8</t>
        </is>
      </c>
      <c r="C52" s="4" t="inlineStr">
        <is>
          <t>优惠与羊毛</t>
        </is>
      </c>
      <c r="D52" s="4" t="inlineStr">
        <is>
          <t>新人券限制、设备/手机号维度限购、刷单识别</t>
        </is>
      </c>
      <c r="E52" s="4" t="inlineStr">
        <is>
          <t xml:space="preserve">无券/新手券/刷单识别</t>
        </is>
      </c>
      <c r="F52" s="13" t="inlineStr">
        <is>
          <t xml:space="preserve">待确认</t>
        </is>
      </c>
      <c r="G52" s="15" t="inlineStr">
        <is>
          <t xml:space="preserve"/>
        </is>
      </c>
      <c r="H52" s="13" t="inlineStr">
        <is>
          <t xml:space="preserve"/>
        </is>
      </c>
      <c r="I52" s="4" t="inlineStr">
        <is>
          <t xml:space="preserve"/>
        </is>
      </c>
    </row>
    <row r="53" ht="40" customHeight="1">
      <c r="A53" s="13" t="inlineStr">
        <is>
          <t>043</t>
        </is>
      </c>
      <c r="B53" s="13" t="inlineStr">
        <is>
          <t>M8</t>
        </is>
      </c>
      <c r="C53" s="4" t="inlineStr">
        <is>
          <t>数据口径可核</t>
        </is>
      </c>
      <c r="D53" s="4" t="inlineStr">
        <is>
          <t>GMV、成单率、退款率口径明确，与财务对账一致</t>
        </is>
      </c>
      <c r="E53" s="4" t="inlineStr">
        <is>
          <t xml:space="preserve">GMV/成单/退款口径可核</t>
        </is>
      </c>
      <c r="F53" s="13" t="inlineStr">
        <is>
          <t xml:space="preserve">通过</t>
        </is>
      </c>
      <c r="G53" s="15" t="inlineStr">
        <is>
          <t xml:space="preserve"/>
        </is>
      </c>
      <c r="H53" s="13" t="inlineStr">
        <is>
          <t xml:space="preserve"/>
        </is>
      </c>
      <c r="I53" s="4" t="inlineStr">
        <is>
          <t xml:space="preserve"/>
        </is>
      </c>
    </row>
    <row r="54" ht="40" customHeight="1">
      <c r="A54" s="13" t="inlineStr">
        <is>
          <t>044</t>
        </is>
      </c>
      <c r="B54" s="13" t="inlineStr">
        <is>
          <t>M8</t>
        </is>
      </c>
      <c r="C54" s="4" t="inlineStr">
        <is>
          <t>结算对账</t>
        </is>
      </c>
      <c r="D54" s="4" t="inlineStr">
        <is>
          <t>日终支付流水 vs 订单 vs 分账单三方平账</t>
        </is>
      </c>
      <c r="E54" s="4" t="inlineStr">
        <is>
          <t xml:space="preserve">资金池 vs 直连分账未定，三方平账口径未定</t>
        </is>
      </c>
      <c r="F54" s="13" t="inlineStr">
        <is>
          <t xml:space="preserve">不通过</t>
        </is>
      </c>
      <c r="G54" s="14" t="inlineStr">
        <is>
          <t xml:space="preserve">P0</t>
        </is>
      </c>
      <c r="H54" s="13" t="inlineStr">
        <is>
          <t xml:space="preserve">ISS-001</t>
        </is>
      </c>
      <c r="I54" s="4" t="inlineStr">
        <is>
          <t xml:space="preserve">定分账接口与对账口径</t>
        </is>
      </c>
    </row>
    <row r="55" ht="40" customHeight="1">
      <c r="A55" s="13" t="inlineStr">
        <is>
          <t>045</t>
        </is>
      </c>
      <c r="B55" s="13" t="inlineStr">
        <is>
          <t>M8</t>
        </is>
      </c>
      <c r="C55" s="4" t="inlineStr">
        <is>
          <t>客服与仲裁 SLA</t>
        </is>
      </c>
      <c r="D55" s="4" t="inlineStr">
        <is>
          <t>申诉响应时限、举证材料、平台裁定规则公开</t>
        </is>
      </c>
      <c r="E55" s="4" t="inlineStr">
        <is>
          <t xml:space="preserve">一审/二审工作日窗口（enums）</t>
        </is>
      </c>
      <c r="F55" s="13" t="inlineStr">
        <is>
          <t xml:space="preserve">通过</t>
        </is>
      </c>
      <c r="G55" s="15" t="inlineStr">
        <is>
          <t xml:space="preserve"/>
        </is>
      </c>
      <c r="H55" s="13" t="inlineStr">
        <is>
          <t xml:space="preserve"/>
        </is>
      </c>
      <c r="I55" s="4" t="inlineStr">
        <is>
          <t xml:space="preserve"/>
        </is>
      </c>
    </row>
    <row r="56" ht="40" customHeight="1">
      <c r="A56" s="13" t="inlineStr">
        <is>
          <t>046</t>
        </is>
      </c>
      <c r="B56" s="13" t="inlineStr">
        <is>
          <t>M8</t>
        </is>
      </c>
      <c r="C56" s="4" t="inlineStr">
        <is>
          <t>增长链路闭环</t>
        </is>
      </c>
      <c r="D56" s="4" t="inlineStr">
        <is>
          <t>分享卡片→授权→下单→回流，各步转化率可追踪无断点</t>
        </is>
      </c>
      <c r="E56" s="4" t="inlineStr">
        <is>
          <t xml:space="preserve">分享转化链路待测</t>
        </is>
      </c>
      <c r="F56" s="13" t="inlineStr">
        <is>
          <t xml:space="preserve">待确认</t>
        </is>
      </c>
      <c r="G56" s="16" t="inlineStr">
        <is>
          <t xml:space="preserve"/>
        </is>
      </c>
      <c r="H56" s="13" t="inlineStr">
        <is>
          <t xml:space="preserve"/>
        </is>
      </c>
      <c r="I56" s="4" t="inlineStr">
        <is>
          <t xml:space="preserve"/>
        </is>
      </c>
    </row>
  </sheetData>
  <autoFilter ref="A2:I56"/>
  <mergeCells count="9">
    <mergeCell ref="A25:I25"/>
    <mergeCell ref="A43:I43"/>
    <mergeCell ref="A19:I19"/>
    <mergeCell ref="A10:I10"/>
    <mergeCell ref="A37:I37"/>
    <mergeCell ref="A1:I1"/>
    <mergeCell ref="A31:I31"/>
    <mergeCell ref="A3:I3"/>
    <mergeCell ref="A50:I50"/>
  </mergeCells>
  <dataValidations count="2">
    <dataValidation sqref="F4 F5 F6 F7 F8 F9 F11 F12 F13 F14 F15 F16 F17 F18 F20 F21 F22 F23 F24 F26 F27 F28 F29 F30 F32 F33 F34 F35 F36 F38 F39 F40 F41 F42 F44 F45 F46 F47 F48 F49 F51 F52 F53 F54 F55 F56" showDropDown="0" showInputMessage="0" showErrorMessage="0" allowBlank="1" type="list">
      <formula1>"通过,不通过,待确认,N/A"</formula1>
    </dataValidation>
    <dataValidation sqref="G4 G5 G6 G7 G8 G9 G11 G12 G13 G14 G15 G16 G17 G18 G20 G21 G22 G23 G24 G26 G27 G28 G29 G30 G32 G33 G34 G35 G36 G38 G39 G40 G41 G42 G44 G45 G46 G47 G48 G49 G51 G52 G53 G54 G55 G56" showDropDown="0" showInputMessage="0" showErrorMessage="0" allowBlank="0" type="list">
      <formula1>"P0,P1,P2"</formula1>
    </dataValidation>
  </dataValidation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N35"/>
  <sheetViews>
    <sheetView showGridLines="0" workbookViewId="0">
      <pane ySplit="2" topLeftCell="A3" activePane="bottomLeft" state="frozen"/>
      <selection pane="bottomLeft" activeCell="A1" sqref="A1"/>
    </sheetView>
  </sheetViews>
  <sheetFormatPr baseColWidth="8" defaultRowHeight="15"/>
  <cols>
    <col width="10" customWidth="1" min="1" max="1"/>
    <col width="9" customWidth="1" min="2" max="2"/>
    <col width="9" customWidth="1" min="3" max="3"/>
    <col width="14" customWidth="1" min="4" max="4"/>
    <col width="34" customWidth="1" min="5" max="5"/>
    <col width="24" customWidth="1" min="6" max="6"/>
    <col width="22" customWidth="1" min="7" max="7"/>
    <col width="30" customWidth="1" min="8" max="8"/>
    <col width="30" customWidth="1" min="9" max="9"/>
    <col width="12" customWidth="1" min="10" max="10"/>
    <col width="12" customWidth="1" min="11" max="11"/>
    <col width="13" customWidth="1" min="12" max="12"/>
    <col width="13" customWidth="1" min="13" max="13"/>
    <col width="20" customWidth="1" min="14" max="14"/>
  </cols>
  <sheetData>
    <row r="1" ht="34" customHeight="1">
      <c r="A1" s="5" t="inlineStr">
        <is>
          <t>03 · 问题台账（不通过 &amp; 待确认 都登记，闭环才关单）</t>
        </is>
      </c>
    </row>
    <row r="2" ht="30" customHeight="1">
      <c r="A2" s="11" t="inlineStr">
        <is>
          <t>问题ID</t>
        </is>
      </c>
      <c r="B2" s="11" t="inlineStr">
        <is>
          <t>清单编号</t>
        </is>
      </c>
      <c r="C2" s="11" t="inlineStr">
        <is>
          <t>严重级</t>
        </is>
      </c>
      <c r="D2" s="11" t="inlineStr">
        <is>
          <t>模块</t>
        </is>
      </c>
      <c r="E2" s="11" t="inlineStr">
        <is>
          <t>问题描述</t>
        </is>
      </c>
      <c r="F2" s="11" t="inlineStr">
        <is>
          <t>依据/证据</t>
        </is>
      </c>
      <c r="G2" s="11" t="inlineStr">
        <is>
          <t>影响(资损/体验/合规)</t>
        </is>
      </c>
      <c r="H2" s="11" t="inlineStr">
        <is>
          <t>复现步骤/用例</t>
        </is>
      </c>
      <c r="I2" s="11" t="inlineStr">
        <is>
          <t>修复建议</t>
        </is>
      </c>
      <c r="J2" s="11" t="inlineStr">
        <is>
          <t>责任人</t>
        </is>
      </c>
      <c r="K2" s="11" t="inlineStr">
        <is>
          <t>状态</t>
        </is>
      </c>
      <c r="L2" s="11" t="inlineStr">
        <is>
          <t>发现日期</t>
        </is>
      </c>
      <c r="M2" s="11" t="inlineStr">
        <is>
          <t>关闭日期</t>
        </is>
      </c>
      <c r="N2" s="11" t="inlineStr">
        <is>
          <t>验证结果</t>
        </is>
      </c>
    </row>
    <row r="3" ht="46" customHeight="1">
      <c r="A3" s="13" t="inlineStr">
        <is>
          <t xml:space="preserve">ISS-001</t>
        </is>
      </c>
      <c r="B3" s="13" t="inlineStr">
        <is>
          <t xml:space="preserve">044</t>
        </is>
      </c>
      <c r="C3" s="17" t="inlineStr">
        <is>
          <t xml:space="preserve">P0</t>
        </is>
      </c>
      <c r="D3" s="9" t="inlineStr">
        <is>
          <t xml:space="preserve">M8 商业模型</t>
        </is>
      </c>
      <c r="E3" s="9" t="inlineStr">
        <is>
          <t xml:space="preserve">商业模型冲突：BP「服务商直连分账、资金不过平台账户」vs 代码 mock_pay/settle/withdraw 平台资金池</t>
        </is>
      </c>
      <c r="F3" s="9" t="inlineStr">
        <is>
          <t xml:space="preserve">BP L322/330/516；money_rules splitOrderAmount；payment-mock/action_pay mock_pay</t>
        </is>
      </c>
      <c r="G3" s="9" t="inlineStr">
        <is>
          <t xml:space="preserve">资损/二清合规红线（正式支付接入即违规）</t>
        </is>
      </c>
      <c r="H3" s="9" t="inlineStr">
        <is>
          <t xml:space="preserve">接入微信支付后走 mock 冻结→结算→提现链路</t>
        </is>
      </c>
      <c r="I3" s="9" t="inlineStr">
        <is>
          <t xml:space="preserve">先定案资金路由：直连分账需新增分账接口；或平台持牌/备案</t>
        </is>
      </c>
      <c r="J3" s="13" t="inlineStr">
        <is>
          <t xml:space="preserve">产品+法务</t>
        </is>
      </c>
      <c r="K3" s="18" t="inlineStr">
        <is>
          <t xml:space="preserve">待处理</t>
        </is>
      </c>
      <c r="L3" s="13" t="inlineStr">
        <is>
          <t xml:space="preserve">2026-10-31</t>
        </is>
      </c>
      <c r="M3" s="13" t="inlineStr"/>
      <c r="N3" s="9" t="inlineStr">
        <is>
          <t>未验证</t>
        </is>
      </c>
    </row>
    <row r="4" ht="46" customHeight="1">
      <c r="A4" s="13" t="inlineStr">
        <is>
          <t xml:space="preserve">ISS-002</t>
        </is>
      </c>
      <c r="B4" s="13" t="inlineStr">
        <is>
          <t xml:space="preserve">035</t>
        </is>
      </c>
      <c r="C4" s="17" t="inlineStr">
        <is>
          <t xml:space="preserve">P0</t>
        </is>
      </c>
      <c r="D4" s="9" t="inlineStr">
        <is>
          <t xml:space="preserve">M7 合规</t>
        </is>
      </c>
      <c r="E4" s="9" t="inlineStr">
        <is>
          <t xml:space="preserve">prod 实名不可用：真实人脸未接入，face_mode=wx 一律拒绝实名</t>
        </is>
      </c>
      <c r="F4" s="9" t="inlineStr">
        <is>
          <t xml:space="preserve">user-login/action_account.js L177/181-183</t>
        </is>
      </c>
      <c r="G4" s="9" t="inlineStr">
        <is>
          <t xml:space="preserve">合规红线/上线阻断：真实用户无法实名</t>
        </is>
      </c>
      <c r="H4" s="9" t="inlineStr">
        <is>
          <t xml:space="preserve">prod 环境提交实名被拒</t>
        </is>
      </c>
      <c r="I4" s="9" t="inlineStr">
        <is>
          <t xml:space="preserve">接入微信官方人脸核验（realname_face_mode=wx 真实实现）</t>
        </is>
      </c>
      <c r="J4" s="13" t="inlineStr">
        <is>
          <t xml:space="preserve">后端</t>
        </is>
      </c>
      <c r="K4" s="18" t="inlineStr">
        <is>
          <t xml:space="preserve">待处理</t>
        </is>
      </c>
      <c r="L4" s="13" t="inlineStr">
        <is>
          <t xml:space="preserve">2026-10-31</t>
        </is>
      </c>
      <c r="M4" s="13" t="inlineStr"/>
      <c r="N4" s="9" t="inlineStr">
        <is>
          <t>未验证</t>
        </is>
      </c>
    </row>
    <row r="5" ht="46" customHeight="1">
      <c r="A5" s="13" t="inlineStr">
        <is>
          <t xml:space="preserve">ISS-003</t>
        </is>
      </c>
      <c r="B5" s="13" t="inlineStr">
        <is>
          <t xml:space="preserve">013</t>
        </is>
      </c>
      <c r="C5" s="19" t="inlineStr">
        <is>
          <t xml:space="preserve">P1</t>
        </is>
      </c>
      <c r="D5" s="9" t="inlineStr">
        <is>
          <t xml:space="preserve">M2 资金</t>
        </is>
      </c>
      <c r="E5" s="9" t="inlineStr">
        <is>
          <t xml:space="preserve">爽约零赔付+无自动兜底：仅申诉制，受害者资金长期滞留</t>
        </is>
      </c>
      <c r="F5" s="9" t="inlineStr">
        <is>
          <t xml:space="preserve">no_show_rules.js L43-81；order_state.no21</t>
        </is>
      </c>
      <c r="G5" s="9" t="inlineStr">
        <is>
          <t xml:space="preserve">资损/体验：爽约方无资金约束，受害方需自行取证</t>
        </is>
      </c>
      <c r="H5" s="9" t="inlineStr">
        <is>
          <t xml:space="preserve">服务者到点不履约，订单停留 S2</t>
        </is>
      </c>
      <c r="I5" s="9" t="inlineStr">
        <is>
          <t xml:space="preserve">补自动爽约判定+限时原路退款</t>
        </is>
      </c>
      <c r="J5" s="13" t="inlineStr">
        <is>
          <t xml:space="preserve">产品</t>
        </is>
      </c>
      <c r="K5" s="18" t="inlineStr">
        <is>
          <t xml:space="preserve">排查中</t>
        </is>
      </c>
      <c r="L5" s="13" t="inlineStr">
        <is>
          <t xml:space="preserve">2026-10-31</t>
        </is>
      </c>
      <c r="M5" s="13" t="inlineStr"/>
      <c r="N5" s="9" t="inlineStr">
        <is>
          <t>未验证</t>
        </is>
      </c>
    </row>
    <row r="6" ht="30" customHeight="1">
      <c r="A6" s="13" t="inlineStr">
        <is>
          <t xml:space="preserve">ISS-004</t>
        </is>
      </c>
      <c r="B6" s="13" t="inlineStr">
        <is>
          <t xml:space="preserve">020</t>
        </is>
      </c>
      <c r="C6" s="13" t="inlineStr">
        <is>
          <t xml:space="preserve">P1</t>
        </is>
      </c>
      <c r="D6" s="9" t="inlineStr">
        <is>
          <t xml:space="preserve">M4 并发</t>
        </is>
      </c>
      <c r="E6" s="9" t="inlineStr">
        <is>
          <t xml:space="preserve">接单/建单锁 fail-open：acquireTakeLock 异常放行、无 user_account 也放行</t>
        </is>
      </c>
      <c r="F6" s="9" t="inlineStr">
        <is>
          <t xml:space="preserve">order-create/index.js L23-57</t>
        </is>
      </c>
      <c r="G6" s="9" t="inlineStr">
        <is>
          <t xml:space="preserve">超卖风险（多耍伴同时命中）</t>
        </is>
      </c>
      <c r="H6" s="9" t="inlineStr">
        <is>
          <t xml:space="preserve">并发抢单压测</t>
        </is>
      </c>
      <c r="I6" s="9" t="inlineStr">
        <is>
          <t xml:space="preserve">锁失败改 fail-closed</t>
        </is>
      </c>
      <c r="J6" s="13" t="inlineStr">
        <is>
          <t xml:space="preserve">后端</t>
        </is>
      </c>
      <c r="K6" s="13" t="inlineStr">
        <is>
          <t xml:space="preserve">排查中</t>
        </is>
      </c>
      <c r="L6" s="13" t="inlineStr">
        <is>
          <t xml:space="preserve">2026-10-31</t>
        </is>
      </c>
      <c r="M6" s="13" t="inlineStr"/>
      <c r="N6" s="9" t="inlineStr"/>
    </row>
    <row r="7" ht="30" customHeight="1">
      <c r="A7" s="13" t="inlineStr">
        <is>
          <t xml:space="preserve">ISS-005</t>
        </is>
      </c>
      <c r="B7" s="13" t="inlineStr">
        <is>
          <t xml:space="preserve">003</t>
        </is>
      </c>
      <c r="C7" s="13" t="inlineStr">
        <is>
          <t xml:space="preserve">P1</t>
        </is>
      </c>
      <c r="D7" s="9" t="inlineStr">
        <is>
          <t xml:space="preserve">M1 撮合</t>
        </is>
      </c>
      <c r="E7" s="9" t="inlineStr">
        <is>
          <t xml:space="preserve">位置可伪造：接单距离用客户端坐标、不校验 accuracy，chooseLocation 手选点可绕 50km 门禁</t>
        </is>
      </c>
      <c r="F7" s="9" t="inlineStr">
        <is>
          <t xml:space="preserve">take_rules.js L133-144；action_take.js L194-224</t>
        </is>
      </c>
      <c r="G7" s="9" t="inlineStr">
        <is>
          <t xml:space="preserve">撮合失效/安全风险</t>
        </is>
      </c>
      <c r="H7" s="9" t="inlineStr">
        <is>
          <t xml:space="preserve">手选远距离点仍可接单</t>
        </is>
      </c>
      <c r="I7" s="9" t="inlineStr">
        <is>
          <t xml:space="preserve">接单侧增加 accuracy/GCJ-02 云端校验</t>
        </is>
      </c>
      <c r="J7" s="13" t="inlineStr">
        <is>
          <t xml:space="preserve">后端</t>
        </is>
      </c>
      <c r="K7" s="13" t="inlineStr">
        <is>
          <t xml:space="preserve">排查中</t>
        </is>
      </c>
      <c r="L7" s="13" t="inlineStr">
        <is>
          <t xml:space="preserve">2026-10-31</t>
        </is>
      </c>
      <c r="M7" s="13" t="inlineStr"/>
      <c r="N7" s="9" t="inlineStr"/>
    </row>
    <row r="8" ht="30" customHeight="1">
      <c r="A8" s="13" t="inlineStr">
        <is>
          <t xml:space="preserve">ISS-006</t>
        </is>
      </c>
      <c r="B8" s="13" t="inlineStr">
        <is>
          <t xml:space="preserve">015</t>
        </is>
      </c>
      <c r="C8" s="13" t="inlineStr">
        <is>
          <t xml:space="preserve">P1</t>
        </is>
      </c>
      <c r="D8" s="9" t="inlineStr">
        <is>
          <t xml:space="preserve">M3 越权</t>
        </is>
      </c>
      <c r="E8" s="9" t="inlineStr">
        <is>
          <t xml:space="preserve">auto_approve_partner=true 跳过耍伴审核直接授 partner 角色</t>
        </is>
      </c>
      <c r="F8" s="9" t="inlineStr">
        <is>
          <t xml:space="preserve">partner-apply/index.js L186/218-221</t>
        </is>
      </c>
      <c r="G8" s="9" t="inlineStr">
        <is>
          <t xml:space="preserve">未审核者接单（合规）</t>
        </is>
      </c>
      <c r="H8" s="9" t="inlineStr">
        <is>
          <t xml:space="preserve">开启该开关后无资质者入驻</t>
        </is>
      </c>
      <c r="I8" s="9" t="inlineStr">
        <is>
          <t xml:space="preserve">上线前复核清零该开关+资质门槛</t>
        </is>
      </c>
      <c r="J8" s="13" t="inlineStr">
        <is>
          <t xml:space="preserve">产品</t>
        </is>
      </c>
      <c r="K8" s="13" t="inlineStr">
        <is>
          <t xml:space="preserve">排查中</t>
        </is>
      </c>
      <c r="L8" s="13" t="inlineStr">
        <is>
          <t xml:space="preserve">2026-10-31</t>
        </is>
      </c>
      <c r="M8" s="13" t="inlineStr"/>
      <c r="N8" s="9" t="inlineStr"/>
    </row>
    <row r="9" ht="30" customHeight="1">
      <c r="A9" s="13" t="inlineStr">
        <is>
          <t xml:space="preserve">ISS-007</t>
        </is>
      </c>
      <c r="B9" s="13" t="inlineStr">
        <is>
          <t xml:space="preserve">040</t>
        </is>
      </c>
      <c r="C9" s="13" t="inlineStr">
        <is>
          <t xml:space="preserve">P1</t>
        </is>
      </c>
      <c r="D9" s="9" t="inlineStr">
        <is>
          <t xml:space="preserve">M7 评价</t>
        </is>
      </c>
      <c r="E9" s="9" t="inlineStr">
        <is>
          <t xml:space="preserve">恶意差评无救济：信用分单向扣减，无追评/改评/申诉撤销</t>
        </is>
      </c>
      <c r="F9" s="9" t="inlineStr">
        <is>
          <t xml:space="preserve">credit_rules.js L1-24；evaluation-submit</t>
        </is>
      </c>
      <c r="G9" s="9" t="inlineStr">
        <is>
          <t xml:space="preserve">恶意差评损害耍伴信用不可逆</t>
        </is>
      </c>
      <c r="H9" s="9" t="inlineStr">
        <is>
          <t xml:space="preserve">低星评价后无法申诉</t>
        </is>
      </c>
      <c r="I9" s="9" t="inlineStr">
        <is>
          <t xml:space="preserve">增加评价申诉+客服核销通道</t>
        </is>
      </c>
      <c r="J9" s="13" t="inlineStr">
        <is>
          <t xml:space="preserve">产品</t>
        </is>
      </c>
      <c r="K9" s="13" t="inlineStr">
        <is>
          <t xml:space="preserve">排查中</t>
        </is>
      </c>
      <c r="L9" s="13" t="inlineStr">
        <is>
          <t xml:space="preserve">2026-10-31</t>
        </is>
      </c>
      <c r="M9" s="13" t="inlineStr"/>
      <c r="N9" s="9" t="inlineStr"/>
    </row>
    <row r="10" ht="30" customHeight="1">
      <c r="A10" s="13" t="inlineStr">
        <is>
          <t xml:space="preserve">ISS-008</t>
        </is>
      </c>
      <c r="B10" s="13" t="inlineStr">
        <is>
          <t xml:space="preserve">009</t>
        </is>
      </c>
      <c r="C10" s="13" t="inlineStr">
        <is>
          <t xml:space="preserve">P2</t>
        </is>
      </c>
      <c r="D10" s="9" t="inlineStr">
        <is>
          <t xml:space="preserve">M2 资金</t>
        </is>
      </c>
      <c r="E10" s="9" t="inlineStr">
        <is>
          <t xml:space="preserve">优惠券/满减未实现：无 coupon 集合与逻辑</t>
        </is>
      </c>
      <c r="F10" s="9" t="inlineStr">
        <is>
          <t xml:space="preserve">无对应代码</t>
        </is>
      </c>
      <c r="G10" s="9" t="inlineStr">
        <is>
          <t xml:space="preserve">功能缺失</t>
        </is>
      </c>
      <c r="H10" s="9" t="inlineStr">
        <is>
          <t xml:space="preserve">—</t>
        </is>
      </c>
      <c r="I10" s="9" t="inlineStr">
        <is>
          <t xml:space="preserve">明确本期是否做</t>
        </is>
      </c>
      <c r="J10" s="13" t="inlineStr">
        <is>
          <t xml:space="preserve">产品</t>
        </is>
      </c>
      <c r="K10" s="13" t="inlineStr">
        <is>
          <t xml:space="preserve">待处理</t>
        </is>
      </c>
      <c r="L10" s="13" t="inlineStr">
        <is>
          <t xml:space="preserve">2026-10-31</t>
        </is>
      </c>
      <c r="M10" s="13" t="inlineStr"/>
      <c r="N10" s="9" t="inlineStr"/>
    </row>
    <row r="11" ht="30" customHeight="1">
      <c r="A11" s="13" t="inlineStr">
        <is>
          <t xml:space="preserve">ISS-009</t>
        </is>
      </c>
      <c r="B11" s="13" t="inlineStr">
        <is>
          <t xml:space="preserve">025</t>
        </is>
      </c>
      <c r="C11" s="13" t="inlineStr">
        <is>
          <t xml:space="preserve">P2</t>
        </is>
      </c>
      <c r="D11" s="9" t="inlineStr">
        <is>
          <t xml:space="preserve">M5 异常</t>
        </is>
      </c>
      <c r="E11" s="9" t="inlineStr">
        <is>
          <t xml:space="preserve">order-timer 30min/轮降频，15min/30min 阈值实际最坏延迟至 30min+</t>
        </is>
      </c>
      <c r="F11" s="9" t="inlineStr">
        <is>
          <t xml:space="preserve">order-timer（2026-10-28 降频）</t>
        </is>
      </c>
      <c r="G11" s="9" t="inlineStr">
        <is>
          <t xml:space="preserve">资金/需求超时释放延迟</t>
        </is>
      </c>
      <c r="H11" s="9" t="inlineStr">
        <is>
          <t xml:space="preserve">S1 15min 阈值到点后未即时取消</t>
        </is>
      </c>
      <c r="I11" s="9" t="inlineStr">
        <is>
          <t xml:space="preserve">恢复高频或按阈值动态触达</t>
        </is>
      </c>
      <c r="J11" s="13" t="inlineStr">
        <is>
          <t xml:space="preserve">后端</t>
        </is>
      </c>
      <c r="K11" s="13" t="inlineStr">
        <is>
          <t xml:space="preserve">排查中</t>
        </is>
      </c>
      <c r="L11" s="13" t="inlineStr">
        <is>
          <t xml:space="preserve">2026-10-31</t>
        </is>
      </c>
      <c r="M11" s="13" t="inlineStr"/>
      <c r="N11" s="9" t="inlineStr"/>
    </row>
    <row r="12" ht="30" customHeight="1">
      <c r="A12" s="13" t="inlineStr">
        <is>
          <t xml:space="preserve">ISS-010</t>
        </is>
      </c>
      <c r="B12" s="13" t="inlineStr">
        <is>
          <t xml:space="preserve">003</t>
        </is>
      </c>
      <c r="C12" s="13" t="inlineStr">
        <is>
          <t xml:space="preserve">P2</t>
        </is>
      </c>
      <c r="D12" s="9" t="inlineStr">
        <is>
          <t xml:space="preserve">M1 流程</t>
        </is>
      </c>
      <c r="E12" s="9" t="inlineStr">
        <is>
          <t xml:space="preserve">S1/S0 超时释放 demand 未清 matched_openid，与 broadcast 抢单成功分支口径不一致</t>
        </is>
      </c>
      <c r="F12" s="9" t="inlineStr">
        <is>
          <t xml:space="preserve">order_state.no1/no2 + action_timeout</t>
        </is>
      </c>
      <c r="G12" s="9" t="inlineStr">
        <is>
          <t xml:space="preserve">已抢需求释放后残留 matched，大厅重复展示</t>
        </is>
      </c>
      <c r="H12" s="9" t="inlineStr">
        <is>
          <t xml:space="preserve">释放后观察 demand 状态</t>
        </is>
      </c>
      <c r="I12" s="9" t="inlineStr">
        <is>
          <t xml:space="preserve">释放时同步清 matched_openid</t>
        </is>
      </c>
      <c r="J12" s="13" t="inlineStr">
        <is>
          <t xml:space="preserve">后端</t>
        </is>
      </c>
      <c r="K12" s="13" t="inlineStr">
        <is>
          <t xml:space="preserve">排查中</t>
        </is>
      </c>
      <c r="L12" s="13" t="inlineStr">
        <is>
          <t xml:space="preserve">2026-10-31</t>
        </is>
      </c>
      <c r="M12" s="13" t="inlineStr"/>
      <c r="N12" s="9" t="inlineStr"/>
    </row>
    <row r="13" ht="30" customHeight="1">
      <c r="A13" s="13" t="inlineStr">
        <is>
          <t xml:space="preserve">ISS-011</t>
        </is>
      </c>
      <c r="B13" s="13" t="inlineStr">
        <is>
          <t xml:space="preserve">013</t>
        </is>
      </c>
      <c r="C13" s="13" t="inlineStr">
        <is>
          <t xml:space="preserve">P2</t>
        </is>
      </c>
      <c r="D13" s="9" t="inlineStr">
        <is>
          <t xml:space="preserve">M1 流程</t>
        </is>
      </c>
      <c r="E13" s="9" t="inlineStr">
        <is>
          <t xml:space="preserve">爽约举证逾期不自动关闭，申诉单长期悬挂</t>
        </is>
      </c>
      <c r="F13" s="9" t="inlineStr">
        <is>
          <t xml:space="preserve">no_show_rules.defenseDeadlineOf（N2）</t>
        </is>
      </c>
      <c r="G13" s="9" t="inlineStr">
        <is>
          <t xml:space="preserve">申诉单悬挂</t>
        </is>
      </c>
      <c r="H13" s="9" t="inlineStr">
        <is>
          <t xml:space="preserve">举证超时后观察状态</t>
        </is>
      </c>
      <c r="I13" s="9" t="inlineStr">
        <is>
          <t xml:space="preserve">增加逾期自动关闭或定时催办</t>
        </is>
      </c>
      <c r="J13" s="13" t="inlineStr">
        <is>
          <t xml:space="preserve">产品</t>
        </is>
      </c>
      <c r="K13" s="13" t="inlineStr">
        <is>
          <t xml:space="preserve">排查中</t>
        </is>
      </c>
      <c r="L13" s="13" t="inlineStr">
        <is>
          <t xml:space="preserve">2026-10-31</t>
        </is>
      </c>
      <c r="M13" s="13" t="inlineStr"/>
      <c r="N13" s="9" t="inlineStr"/>
    </row>
    <row r="14" ht="30" customHeight="1">
      <c r="A14" s="13" t="inlineStr">
        <is>
          <t xml:space="preserve">ISS-012</t>
        </is>
      </c>
      <c r="B14" s="13" t="inlineStr">
        <is>
          <t xml:space="preserve">010</t>
        </is>
      </c>
      <c r="C14" s="13" t="inlineStr">
        <is>
          <t xml:space="preserve">P2</t>
        </is>
      </c>
      <c r="D14" s="9" t="inlineStr">
        <is>
          <t xml:space="preserve">M8 商业</t>
        </is>
      </c>
      <c r="E14" s="9" t="inlineStr">
        <is>
          <t xml:space="preserve">分场景佣金未实现：仅单一 platform_fee_rate_fen</t>
        </is>
      </c>
      <c r="F14" s="9" t="inlineStr">
        <is>
          <t xml:space="preserve">CONFIG_SCHEMA 费率组单一键</t>
        </is>
      </c>
      <c r="G14" s="9" t="inlineStr">
        <is>
          <t xml:space="preserve">与 BP 分场景定价不一致</t>
        </is>
      </c>
      <c r="H14" s="9" t="inlineStr">
        <is>
          <t xml:space="preserve">—</t>
        </is>
      </c>
      <c r="I14" s="9" t="inlineStr">
        <is>
          <t xml:space="preserve">补分场景佣金或明确单一费率</t>
        </is>
      </c>
      <c r="J14" s="13" t="inlineStr">
        <is>
          <t xml:space="preserve">产品</t>
        </is>
      </c>
      <c r="K14" s="13" t="inlineStr">
        <is>
          <t xml:space="preserve">待处理</t>
        </is>
      </c>
      <c r="L14" s="13" t="inlineStr">
        <is>
          <t xml:space="preserve">2026-10-31</t>
        </is>
      </c>
      <c r="M14" s="13" t="inlineStr"/>
      <c r="N14" s="9" t="inlineStr"/>
    </row>
    <row r="15" ht="30" customHeight="1">
      <c r="A15" s="13" t="inlineStr"/>
      <c r="B15" s="13" t="inlineStr"/>
      <c r="C15" s="13" t="inlineStr"/>
      <c r="D15" s="9" t="inlineStr"/>
      <c r="E15" s="9" t="inlineStr"/>
      <c r="F15" s="9" t="inlineStr"/>
      <c r="G15" s="9" t="inlineStr"/>
      <c r="H15" s="9" t="inlineStr"/>
      <c r="I15" s="9" t="inlineStr"/>
      <c r="J15" s="13" t="inlineStr"/>
      <c r="K15" s="13" t="inlineStr"/>
      <c r="L15" s="13" t="inlineStr"/>
      <c r="M15" s="13" t="inlineStr"/>
      <c r="N15" s="9" t="inlineStr"/>
    </row>
    <row r="16" ht="30" customHeight="1">
      <c r="A16" s="13" t="inlineStr"/>
      <c r="B16" s="13" t="inlineStr"/>
      <c r="C16" s="13" t="inlineStr"/>
      <c r="D16" s="9" t="inlineStr"/>
      <c r="E16" s="9" t="inlineStr"/>
      <c r="F16" s="9" t="inlineStr"/>
      <c r="G16" s="9" t="inlineStr"/>
      <c r="H16" s="9" t="inlineStr"/>
      <c r="I16" s="9" t="inlineStr"/>
      <c r="J16" s="13" t="inlineStr"/>
      <c r="K16" s="13" t="inlineStr"/>
      <c r="L16" s="13" t="inlineStr"/>
      <c r="M16" s="13" t="inlineStr"/>
      <c r="N16" s="9" t="inlineStr"/>
    </row>
    <row r="17" ht="30" customHeight="1">
      <c r="A17" s="13" t="inlineStr"/>
      <c r="B17" s="13" t="inlineStr"/>
      <c r="C17" s="13" t="inlineStr"/>
      <c r="D17" s="9" t="inlineStr"/>
      <c r="E17" s="9" t="inlineStr"/>
      <c r="F17" s="9" t="inlineStr"/>
      <c r="G17" s="9" t="inlineStr"/>
      <c r="H17" s="9" t="inlineStr"/>
      <c r="I17" s="9" t="inlineStr"/>
      <c r="J17" s="13" t="inlineStr"/>
      <c r="K17" s="13" t="inlineStr"/>
      <c r="L17" s="13" t="inlineStr"/>
      <c r="M17" s="13" t="inlineStr"/>
      <c r="N17" s="9" t="inlineStr"/>
    </row>
    <row r="18" ht="30" customHeight="1">
      <c r="A18" s="13" t="inlineStr"/>
      <c r="B18" s="13" t="inlineStr"/>
      <c r="C18" s="13" t="inlineStr"/>
      <c r="D18" s="9" t="inlineStr"/>
      <c r="E18" s="9" t="inlineStr"/>
      <c r="F18" s="9" t="inlineStr"/>
      <c r="G18" s="9" t="inlineStr"/>
      <c r="H18" s="9" t="inlineStr"/>
      <c r="I18" s="9" t="inlineStr"/>
      <c r="J18" s="13" t="inlineStr"/>
      <c r="K18" s="13" t="inlineStr"/>
      <c r="L18" s="13" t="inlineStr"/>
      <c r="M18" s="13" t="inlineStr"/>
      <c r="N18" s="9" t="inlineStr"/>
    </row>
    <row r="19" ht="30" customHeight="1">
      <c r="A19" s="13" t="inlineStr"/>
      <c r="B19" s="13" t="inlineStr"/>
      <c r="C19" s="13" t="inlineStr"/>
      <c r="D19" s="9" t="inlineStr"/>
      <c r="E19" s="9" t="inlineStr"/>
      <c r="F19" s="9" t="inlineStr"/>
      <c r="G19" s="9" t="inlineStr"/>
      <c r="H19" s="9" t="inlineStr"/>
      <c r="I19" s="9" t="inlineStr"/>
      <c r="J19" s="13" t="inlineStr"/>
      <c r="K19" s="13" t="inlineStr"/>
      <c r="L19" s="13" t="inlineStr"/>
      <c r="M19" s="13" t="inlineStr"/>
      <c r="N19" s="9" t="inlineStr"/>
    </row>
    <row r="20" ht="30" customHeight="1">
      <c r="A20" s="13" t="inlineStr"/>
      <c r="B20" s="13" t="inlineStr"/>
      <c r="C20" s="13" t="inlineStr"/>
      <c r="D20" s="9" t="inlineStr"/>
      <c r="E20" s="9" t="inlineStr"/>
      <c r="F20" s="9" t="inlineStr"/>
      <c r="G20" s="9" t="inlineStr"/>
      <c r="H20" s="9" t="inlineStr"/>
      <c r="I20" s="9" t="inlineStr"/>
      <c r="J20" s="13" t="inlineStr"/>
      <c r="K20" s="13" t="inlineStr"/>
      <c r="L20" s="13" t="inlineStr"/>
      <c r="M20" s="13" t="inlineStr"/>
      <c r="N20" s="9" t="inlineStr"/>
    </row>
    <row r="21" ht="30" customHeight="1">
      <c r="A21" s="13" t="inlineStr"/>
      <c r="B21" s="13" t="inlineStr"/>
      <c r="C21" s="13" t="inlineStr"/>
      <c r="D21" s="9" t="inlineStr"/>
      <c r="E21" s="9" t="inlineStr"/>
      <c r="F21" s="9" t="inlineStr"/>
      <c r="G21" s="9" t="inlineStr"/>
      <c r="H21" s="9" t="inlineStr"/>
      <c r="I21" s="9" t="inlineStr"/>
      <c r="J21" s="13" t="inlineStr"/>
      <c r="K21" s="13" t="inlineStr"/>
      <c r="L21" s="13" t="inlineStr"/>
      <c r="M21" s="13" t="inlineStr"/>
      <c r="N21" s="9" t="inlineStr"/>
    </row>
    <row r="22" ht="30" customHeight="1">
      <c r="A22" s="13" t="inlineStr"/>
      <c r="B22" s="13" t="inlineStr"/>
      <c r="C22" s="13" t="inlineStr"/>
      <c r="D22" s="9" t="inlineStr"/>
      <c r="E22" s="9" t="inlineStr"/>
      <c r="F22" s="9" t="inlineStr"/>
      <c r="G22" s="9" t="inlineStr"/>
      <c r="H22" s="9" t="inlineStr"/>
      <c r="I22" s="9" t="inlineStr"/>
      <c r="J22" s="13" t="inlineStr"/>
      <c r="K22" s="13" t="inlineStr"/>
      <c r="L22" s="13" t="inlineStr"/>
      <c r="M22" s="13" t="inlineStr"/>
      <c r="N22" s="9" t="inlineStr"/>
    </row>
    <row r="23" ht="30" customHeight="1">
      <c r="A23" s="13" t="inlineStr"/>
      <c r="B23" s="13" t="inlineStr"/>
      <c r="C23" s="13" t="inlineStr"/>
      <c r="D23" s="9" t="inlineStr"/>
      <c r="E23" s="9" t="inlineStr"/>
      <c r="F23" s="9" t="inlineStr"/>
      <c r="G23" s="9" t="inlineStr"/>
      <c r="H23" s="9" t="inlineStr"/>
      <c r="I23" s="9" t="inlineStr"/>
      <c r="J23" s="13" t="inlineStr"/>
      <c r="K23" s="13" t="inlineStr"/>
      <c r="L23" s="13" t="inlineStr"/>
      <c r="M23" s="13" t="inlineStr"/>
      <c r="N23" s="9" t="inlineStr"/>
    </row>
    <row r="24" ht="30" customHeight="1">
      <c r="A24" s="13" t="inlineStr"/>
      <c r="B24" s="13" t="inlineStr"/>
      <c r="C24" s="13" t="inlineStr"/>
      <c r="D24" s="9" t="inlineStr"/>
      <c r="E24" s="9" t="inlineStr"/>
      <c r="F24" s="9" t="inlineStr"/>
      <c r="G24" s="9" t="inlineStr"/>
      <c r="H24" s="9" t="inlineStr"/>
      <c r="I24" s="9" t="inlineStr"/>
      <c r="J24" s="13" t="inlineStr"/>
      <c r="K24" s="13" t="inlineStr"/>
      <c r="L24" s="13" t="inlineStr"/>
      <c r="M24" s="13" t="inlineStr"/>
      <c r="N24" s="9" t="inlineStr"/>
    </row>
    <row r="25" ht="30" customHeight="1">
      <c r="A25" s="13" t="inlineStr"/>
      <c r="B25" s="13" t="inlineStr"/>
      <c r="C25" s="13" t="inlineStr"/>
      <c r="D25" s="9" t="inlineStr"/>
      <c r="E25" s="9" t="inlineStr"/>
      <c r="F25" s="9" t="inlineStr"/>
      <c r="G25" s="9" t="inlineStr"/>
      <c r="H25" s="9" t="inlineStr"/>
      <c r="I25" s="9" t="inlineStr"/>
      <c r="J25" s="13" t="inlineStr"/>
      <c r="K25" s="13" t="inlineStr"/>
      <c r="L25" s="13" t="inlineStr"/>
      <c r="M25" s="13" t="inlineStr"/>
      <c r="N25" s="9" t="inlineStr"/>
    </row>
    <row r="26" ht="30" customHeight="1">
      <c r="A26" s="13" t="inlineStr"/>
      <c r="B26" s="13" t="inlineStr"/>
      <c r="C26" s="13" t="inlineStr"/>
      <c r="D26" s="9" t="inlineStr"/>
      <c r="E26" s="9" t="inlineStr"/>
      <c r="F26" s="9" t="inlineStr"/>
      <c r="G26" s="9" t="inlineStr"/>
      <c r="H26" s="9" t="inlineStr"/>
      <c r="I26" s="9" t="inlineStr"/>
      <c r="J26" s="13" t="inlineStr"/>
      <c r="K26" s="13" t="inlineStr"/>
      <c r="L26" s="13" t="inlineStr"/>
      <c r="M26" s="13" t="inlineStr"/>
      <c r="N26" s="9" t="inlineStr"/>
    </row>
    <row r="27" ht="30" customHeight="1">
      <c r="A27" s="13" t="inlineStr"/>
      <c r="B27" s="13" t="inlineStr"/>
      <c r="C27" s="13" t="inlineStr"/>
      <c r="D27" s="9" t="inlineStr"/>
      <c r="E27" s="9" t="inlineStr"/>
      <c r="F27" s="9" t="inlineStr"/>
      <c r="G27" s="9" t="inlineStr"/>
      <c r="H27" s="9" t="inlineStr"/>
      <c r="I27" s="9" t="inlineStr"/>
      <c r="J27" s="13" t="inlineStr"/>
      <c r="K27" s="13" t="inlineStr"/>
      <c r="L27" s="13" t="inlineStr"/>
      <c r="M27" s="13" t="inlineStr"/>
      <c r="N27" s="9" t="inlineStr"/>
    </row>
    <row r="28" ht="30" customHeight="1">
      <c r="A28" s="13" t="inlineStr"/>
      <c r="B28" s="13" t="inlineStr"/>
      <c r="C28" s="13" t="inlineStr"/>
      <c r="D28" s="9" t="inlineStr"/>
      <c r="E28" s="9" t="inlineStr"/>
      <c r="F28" s="9" t="inlineStr"/>
      <c r="G28" s="9" t="inlineStr"/>
      <c r="H28" s="9" t="inlineStr"/>
      <c r="I28" s="9" t="inlineStr"/>
      <c r="J28" s="13" t="inlineStr"/>
      <c r="K28" s="13" t="inlineStr"/>
      <c r="L28" s="13" t="inlineStr"/>
      <c r="M28" s="13" t="inlineStr"/>
      <c r="N28" s="9" t="inlineStr"/>
    </row>
    <row r="29" ht="30" customHeight="1">
      <c r="A29" s="13" t="inlineStr"/>
      <c r="B29" s="13" t="inlineStr"/>
      <c r="C29" s="13" t="inlineStr"/>
      <c r="D29" s="9" t="inlineStr"/>
      <c r="E29" s="9" t="inlineStr"/>
      <c r="F29" s="9" t="inlineStr"/>
      <c r="G29" s="9" t="inlineStr"/>
      <c r="H29" s="9" t="inlineStr"/>
      <c r="I29" s="9" t="inlineStr"/>
      <c r="J29" s="13" t="inlineStr"/>
      <c r="K29" s="13" t="inlineStr"/>
      <c r="L29" s="13" t="inlineStr"/>
      <c r="M29" s="13" t="inlineStr"/>
      <c r="N29" s="9" t="inlineStr"/>
    </row>
    <row r="30" ht="30" customHeight="1">
      <c r="A30" s="13" t="inlineStr"/>
      <c r="B30" s="13" t="inlineStr"/>
      <c r="C30" s="13" t="inlineStr"/>
      <c r="D30" s="9" t="inlineStr"/>
      <c r="E30" s="9" t="inlineStr"/>
      <c r="F30" s="9" t="inlineStr"/>
      <c r="G30" s="9" t="inlineStr"/>
      <c r="H30" s="9" t="inlineStr"/>
      <c r="I30" s="9" t="inlineStr"/>
      <c r="J30" s="13" t="inlineStr"/>
      <c r="K30" s="13" t="inlineStr"/>
      <c r="L30" s="13" t="inlineStr"/>
      <c r="M30" s="13" t="inlineStr"/>
      <c r="N30" s="9" t="inlineStr"/>
    </row>
    <row r="31" ht="30" customHeight="1">
      <c r="A31" s="13" t="inlineStr"/>
      <c r="B31" s="13" t="inlineStr"/>
      <c r="C31" s="13" t="inlineStr"/>
      <c r="D31" s="9" t="inlineStr"/>
      <c r="E31" s="9" t="inlineStr"/>
      <c r="F31" s="9" t="inlineStr"/>
      <c r="G31" s="9" t="inlineStr"/>
      <c r="H31" s="9" t="inlineStr"/>
      <c r="I31" s="9" t="inlineStr"/>
      <c r="J31" s="13" t="inlineStr"/>
      <c r="K31" s="13" t="inlineStr"/>
      <c r="L31" s="13" t="inlineStr"/>
      <c r="M31" s="13" t="inlineStr"/>
      <c r="N31" s="9" t="inlineStr"/>
    </row>
    <row r="32" ht="30" customHeight="1">
      <c r="A32" s="13" t="inlineStr"/>
      <c r="B32" s="13" t="inlineStr"/>
      <c r="C32" s="13" t="inlineStr"/>
      <c r="D32" s="9" t="inlineStr"/>
      <c r="E32" s="9" t="inlineStr"/>
      <c r="F32" s="9" t="inlineStr"/>
      <c r="G32" s="9" t="inlineStr"/>
      <c r="H32" s="9" t="inlineStr"/>
      <c r="I32" s="9" t="inlineStr"/>
      <c r="J32" s="13" t="inlineStr"/>
      <c r="K32" s="13" t="inlineStr"/>
      <c r="L32" s="13" t="inlineStr"/>
      <c r="M32" s="13" t="inlineStr"/>
      <c r="N32" s="9" t="inlineStr"/>
    </row>
    <row r="33" ht="30" customHeight="1">
      <c r="A33" s="13" t="inlineStr"/>
      <c r="B33" s="13" t="inlineStr"/>
      <c r="C33" s="13" t="inlineStr"/>
      <c r="D33" s="9" t="inlineStr"/>
      <c r="E33" s="9" t="inlineStr"/>
      <c r="F33" s="9" t="inlineStr"/>
      <c r="G33" s="9" t="inlineStr"/>
      <c r="H33" s="9" t="inlineStr"/>
      <c r="I33" s="9" t="inlineStr"/>
      <c r="J33" s="13" t="inlineStr"/>
      <c r="K33" s="13" t="inlineStr"/>
      <c r="L33" s="13" t="inlineStr"/>
      <c r="M33" s="13" t="inlineStr"/>
      <c r="N33" s="9" t="inlineStr"/>
    </row>
    <row r="34" ht="30" customHeight="1">
      <c r="A34" s="13" t="inlineStr"/>
      <c r="B34" s="13" t="inlineStr"/>
      <c r="C34" s="13" t="inlineStr"/>
      <c r="D34" s="9" t="inlineStr"/>
      <c r="E34" s="9" t="inlineStr"/>
      <c r="F34" s="9" t="inlineStr"/>
      <c r="G34" s="9" t="inlineStr"/>
      <c r="H34" s="9" t="inlineStr"/>
      <c r="I34" s="9" t="inlineStr"/>
      <c r="J34" s="13" t="inlineStr"/>
      <c r="K34" s="13" t="inlineStr"/>
      <c r="L34" s="13" t="inlineStr"/>
      <c r="M34" s="13" t="inlineStr"/>
      <c r="N34" s="9" t="inlineStr"/>
    </row>
    <row r="35" ht="30" customHeight="1">
      <c r="A35" s="13" t="inlineStr"/>
      <c r="B35" s="13" t="inlineStr"/>
      <c r="C35" s="13" t="inlineStr"/>
      <c r="D35" s="9" t="inlineStr"/>
      <c r="E35" s="9" t="inlineStr"/>
      <c r="F35" s="9" t="inlineStr"/>
      <c r="G35" s="9" t="inlineStr"/>
      <c r="H35" s="9" t="inlineStr"/>
      <c r="I35" s="9" t="inlineStr"/>
      <c r="J35" s="13" t="inlineStr"/>
      <c r="K35" s="13" t="inlineStr"/>
      <c r="L35" s="13" t="inlineStr"/>
      <c r="M35" s="13" t="inlineStr"/>
      <c r="N35" s="9" t="inlineStr"/>
    </row>
  </sheetData>
  <autoFilter ref="A2:N35"/>
  <mergeCells count="1">
    <mergeCell ref="A1:N1"/>
  </mergeCells>
  <dataValidations count="2">
    <dataValidation sqref="C6 C7 C8 C9 C10 C11 C12 C13 C14 C15 C16 C17 C18 C19 C20 C21 C22 C23 C24 C25 C26 C27 C28 C29 C30 C31 C32 C33 C34 C35" showDropDown="0" showInputMessage="0" showErrorMessage="0" allowBlank="1" type="list">
      <formula1>"P0,P1,P2"</formula1>
    </dataValidation>
    <dataValidation sqref="K6 K7 K8 K9 K10 K11 K12 K13 K14 K15 K16 K17 K18 K19 K20 K21 K22 K23 K24 K25 K26 K27 K28 K29 K30 K31 K32 K33 K34 K35" showDropDown="0" showInputMessage="0" showErrorMessage="0" allowBlank="1" type="list">
      <formula1>"待处理,排查中,已修复,待验证,已关闭,延期"</formula1>
    </dataValidation>
  </dataValidations>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B2:F25"/>
  <sheetViews>
    <sheetView showGridLines="0" workbookViewId="0">
      <selection activeCell="A1" sqref="A1"/>
    </sheetView>
  </sheetViews>
  <sheetFormatPr baseColWidth="8" defaultRowHeight="15"/>
  <cols>
    <col width="3" customWidth="1" min="1" max="1"/>
    <col width="20" customWidth="1" min="2" max="2"/>
    <col width="16" customWidth="1" min="3" max="3"/>
    <col width="40" customWidth="1" min="4" max="4"/>
    <col width="40" customWidth="1" min="5" max="5"/>
    <col width="24" customWidth="1" min="6" max="6"/>
  </cols>
  <sheetData>
    <row r="2" ht="34" customHeight="1">
      <c r="B2" s="5" t="inlineStr">
        <is>
          <t>04 · 流程还原模板（正常流 + 异常流，一条都不能没出口）</t>
        </is>
      </c>
    </row>
    <row r="4" ht="22" customHeight="1">
      <c r="B4" s="20" t="inlineStr">
        <is>
          <t>▶ 正常主流程</t>
        </is>
      </c>
    </row>
    <row r="5" ht="28" customHeight="1">
      <c r="B5" s="11" t="inlineStr">
        <is>
          <t>步骤</t>
        </is>
      </c>
      <c r="C5" s="11" t="inlineStr">
        <is>
          <t>触发方</t>
        </is>
      </c>
      <c r="D5" s="11" t="inlineStr">
        <is>
          <t>前置状态</t>
        </is>
      </c>
      <c r="E5" s="11" t="inlineStr">
        <is>
          <t>动作 / 调用</t>
        </is>
      </c>
      <c r="F5" s="11" t="inlineStr">
        <is>
          <t>后置状态 &amp; 兜底</t>
        </is>
      </c>
    </row>
    <row r="6" ht="40" customHeight="1">
      <c r="B6" s="4" t="inlineStr">
        <is>
          <t xml:space="preserve">1 发布需求</t>
        </is>
      </c>
      <c r="C6" s="4" t="inlineStr">
        <is>
          <t xml:space="preserve">需求方</t>
        </is>
      </c>
      <c r="D6" s="4" t="inlineStr">
        <is>
          <t xml:space="preserve">未下单</t>
        </is>
      </c>
      <c r="E6" s="4" t="inlineStr">
        <is>
          <t xml:space="preserve">demand-publish 选场景/时段/地点/内容/预算（proxy 代发需签字授权）</t>
        </is>
      </c>
      <c r="F6" s="4" t="inlineStr">
        <is>
          <t xml:space="preserve">demand status=matching</t>
        </is>
      </c>
    </row>
    <row r="7" ht="40" customHeight="1">
      <c r="B7" s="4" t="inlineStr">
        <is>
          <t xml:space="preserve">2 四确认</t>
        </is>
      </c>
      <c r="C7" s="4" t="inlineStr">
        <is>
          <t xml:space="preserve">需求方+耍伴</t>
        </is>
      </c>
      <c r="D7" s="4" t="inlineStr">
        <is>
          <t xml:space="preserve">matching</t>
        </is>
      </c>
      <c r="E7" s="4" t="inlineStr">
        <is>
          <t xml:space="preserve">时间/地点/内容/费用逐项确认（四确认前 IM 仅模板）</t>
        </is>
      </c>
      <c r="F7" s="4" t="inlineStr">
        <is>
          <t xml:space="preserve">order_confirmations 落库</t>
        </is>
      </c>
    </row>
    <row r="8" ht="40" customHeight="1">
      <c r="B8" s="4" t="inlineStr">
        <is>
          <t xml:space="preserve">3 支付</t>
        </is>
      </c>
      <c r="C8" s="4" t="inlineStr">
        <is>
          <t xml:space="preserve">需求方+微信支付</t>
        </is>
      </c>
      <c r="D8" s="4" t="inlineStr">
        <is>
          <t xml:space="preserve">S0 待支付</t>
        </is>
      </c>
      <c r="E8" s="4" t="inlineStr">
        <is>
          <t xml:space="preserve">order-create 原子建单(order_no 唯一)→mock_pay 记 paid_fen</t>
        </is>
      </c>
      <c r="F8" s="4" t="inlineStr">
        <is>
          <t xml:space="preserve">S2 已支付待履约，settle_state=pending</t>
        </is>
      </c>
    </row>
    <row r="9" ht="40" customHeight="1">
      <c r="B9" s="4" t="inlineStr">
        <is>
          <t xml:space="preserve">4 接单</t>
        </is>
      </c>
      <c r="C9" s="4" t="inlineStr">
        <is>
          <t xml:space="preserve">耍伴</t>
        </is>
      </c>
      <c r="D9" s="4" t="inlineStr">
        <is>
          <t xml:space="preserve">S2</t>
        </is>
      </c>
      <c r="E9" s="4" t="inlineStr">
        <is>
          <t xml:space="preserve">broadcast CAS 抢单 / direct 邀约确认</t>
        </is>
      </c>
      <c r="F9" s="4" t="inlineStr">
        <is>
          <t xml:space="preserve">demand matched，order 绑定 partner</t>
        </is>
      </c>
    </row>
    <row r="10" ht="40" customHeight="1">
      <c r="B10" s="4" t="inlineStr">
        <is>
          <t xml:space="preserve">5 开始履约</t>
        </is>
      </c>
      <c r="C10" s="4" t="inlineStr">
        <is>
          <t xml:space="preserve">耍伴→需求方</t>
        </is>
      </c>
      <c r="D10" s="4" t="inlineStr">
        <is>
          <t xml:space="preserve">S2</t>
        </is>
      </c>
      <c r="E10" s="4" t="inlineStr">
        <is>
          <t xml:space="preserve">start_apply(S2→S2.6 定位快照)→start_confirm(S3)</t>
        </is>
      </c>
      <c r="F10" s="4" t="inlineStr">
        <is>
          <t xml:space="preserve">S3 履约中</t>
        </is>
      </c>
    </row>
    <row r="11" ht="40" customHeight="1">
      <c r="B11" s="4" t="inlineStr">
        <is>
          <t xml:space="preserve">6 完毕确认</t>
        </is>
      </c>
      <c r="C11" s="4" t="inlineStr">
        <is>
          <t xml:space="preserve">需求方</t>
        </is>
      </c>
      <c r="D11" s="4" t="inlineStr">
        <is>
          <t xml:space="preserve">S3</t>
        </is>
      </c>
      <c r="E11" s="4" t="inlineStr">
        <is>
          <t xml:space="preserve">finish_apply(S3→S3.6)→finish_confirm(S5)</t>
        </is>
      </c>
      <c r="F11" s="4" t="inlineStr">
        <is>
          <t xml:space="preserve">S5 已完成（settle ready）</t>
        </is>
      </c>
    </row>
    <row r="12" ht="40" customHeight="1">
      <c r="B12" s="4" t="inlineStr">
        <is>
          <t xml:space="preserve">7 评价/关闭</t>
        </is>
      </c>
      <c r="C12" s="4" t="inlineStr">
        <is>
          <t xml:space="preserve">需求方→系统</t>
        </is>
      </c>
      <c r="D12" s="4" t="inlineStr">
        <is>
          <t xml:space="preserve">S5</t>
        </is>
      </c>
      <c r="E12" s="4" t="inlineStr">
        <is>
          <t xml:space="preserve">evaluate(S5→S8 信用分±)；48h 不评 auto_done；售后届满→S10</t>
        </is>
      </c>
      <c r="F12" s="4" t="inlineStr">
        <is>
          <t xml:space="preserve">S8/S10 关闭，settle done</t>
        </is>
      </c>
    </row>
    <row r="14" ht="22" customHeight="1">
      <c r="B14" s="21" t="inlineStr">
        <is>
          <t>▶ 异常 / 逆向流程（每一行都要有判定与兜底）</t>
        </is>
      </c>
    </row>
    <row r="15" ht="28" customHeight="1">
      <c r="B15" s="11" t="inlineStr">
        <is>
          <t>异常场景</t>
        </is>
      </c>
      <c r="C15" s="11" t="inlineStr">
        <is>
          <t>触发条件</t>
        </is>
      </c>
      <c r="D15" s="11" t="inlineStr">
        <is>
          <t>系统行为</t>
        </is>
      </c>
      <c r="E15" s="11" t="inlineStr">
        <is>
          <t>用户看到什么</t>
        </is>
      </c>
      <c r="F15" s="11" t="inlineStr">
        <is>
          <t>⚠ 必须确认的兜底</t>
        </is>
      </c>
    </row>
    <row r="16" ht="40" customHeight="1">
      <c r="B16" s="4" t="inlineStr">
        <is>
          <t xml:space="preserve">重复点击下单/支付</t>
        </is>
      </c>
      <c r="C16" s="4" t="inlineStr">
        <is>
          <t xml:space="preserve">弱网、双击</t>
        </is>
      </c>
      <c r="D16" s="4" t="inlineStr">
        <is>
          <t xml:space="preserve">order_no 唯一 + pay 幂等 + CAS S0→S2；不做第二笔</t>
        </is>
      </c>
      <c r="E16" s="22" t="inlineStr">
        <is>
          <t xml:space="preserve">提示「订单已提交」</t>
        </is>
      </c>
      <c r="F16" s="4" t="inlineStr">
        <is>
          <t xml:space="preserve">绝不生成两笔待支付单</t>
        </is>
      </c>
    </row>
    <row r="17" ht="40" customHeight="1">
      <c r="B17" s="4" t="inlineStr">
        <is>
          <t xml:space="preserve">无人接单</t>
        </is>
      </c>
      <c r="C17" s="4" t="inlineStr">
        <is>
          <t xml:space="preserve">超时 N 分钟</t>
        </is>
      </c>
      <c r="D17" s="4" t="inlineStr">
        <is>
          <t xml:space="preserve">order-timer S1 15min/S0 30min→S6 释放 demand（实际 30min/轮，见 ISS-009）</t>
        </is>
      </c>
      <c r="E17" s="22" t="inlineStr">
        <is>
          <t xml:space="preserve">「已自动取消/退款」</t>
        </is>
      </c>
      <c r="F17" s="4" t="inlineStr">
        <is>
          <t xml:space="preserve">名额释放+退款原路</t>
        </is>
      </c>
    </row>
    <row r="18" ht="40" customHeight="1">
      <c r="B18" s="4" t="inlineStr">
        <is>
          <t xml:space="preserve">服务者爽约</t>
        </is>
      </c>
      <c r="C18" s="4" t="inlineStr">
        <is>
          <t xml:space="preserve">到点未履约</t>
        </is>
      </c>
      <c r="D18" s="4" t="inlineStr">
        <is>
          <t xml:space="preserve">仅申诉制：canSubmitReport(仅 S2/S3.5+48h) 零赔付</t>
        </is>
      </c>
      <c r="E18" s="22" t="inlineStr">
        <is>
          <t xml:space="preserve">需受害方主动举证</t>
        </is>
      </c>
      <c r="F18" s="4" t="inlineStr">
        <is>
          <t xml:space="preserve">补自动爽约判定+限时退款(ISS-003)</t>
        </is>
      </c>
    </row>
    <row r="19" ht="40" customHeight="1">
      <c r="B19" s="4" t="inlineStr">
        <is>
          <t xml:space="preserve">用户不确认完成</t>
        </is>
      </c>
      <c r="C19" s="4" t="inlineStr">
        <is>
          <t xml:space="preserve">超时 N 天</t>
        </is>
      </c>
      <c r="D19" s="4" t="inlineStr">
        <is>
          <t xml:space="preserve">自动完成/默认星(auto_done)</t>
        </is>
      </c>
      <c r="E19" s="22" t="inlineStr">
        <is>
          <t xml:space="preserve">「已自动完成」+申诉入口</t>
        </is>
      </c>
      <c r="F19" s="4" t="inlineStr">
        <is>
          <t xml:space="preserve">自动完成后保留申诉窗口</t>
        </is>
      </c>
    </row>
    <row r="20" ht="40" customHeight="1">
      <c r="B20" s="4" t="inlineStr">
        <is>
          <t xml:space="preserve">支付成功但回调丢失</t>
        </is>
      </c>
      <c r="C20" s="4" t="inlineStr">
        <is>
          <t xml:space="preserve">网络抖动</t>
        </is>
      </c>
      <c r="D20" s="4" t="inlineStr">
        <is>
          <t xml:space="preserve">主动查单 + 兜底定时对账</t>
        </is>
      </c>
      <c r="E20" s="22" t="inlineStr">
        <is>
          <t xml:space="preserve">loading 刷新后显示已支付</t>
        </is>
      </c>
      <c r="F20" s="4" t="inlineStr">
        <is>
          <t xml:space="preserve">禁止让用户重复付款</t>
        </is>
      </c>
    </row>
    <row r="21" ht="40" customHeight="1">
      <c r="B21" s="4" t="inlineStr">
        <is>
          <t xml:space="preserve">退款原路失败</t>
        </is>
      </c>
      <c r="C21" s="4" t="inlineStr">
        <is>
          <t xml:space="preserve">微信/银行侧失败</t>
        </is>
      </c>
      <c r="D21" s="4" t="inlineStr">
        <is>
          <t xml:space="preserve">mock_refund S2/S3→S7 + refunded_fen + 重试</t>
        </is>
      </c>
      <c r="E21" s="22" t="inlineStr">
        <is>
          <t xml:space="preserve">「退款处理中」</t>
        </is>
      </c>
      <c r="F21" s="4" t="inlineStr">
        <is>
          <t xml:space="preserve">有重试上限+告警</t>
        </is>
      </c>
    </row>
    <row r="22" ht="40" customHeight="1">
      <c r="B22" s="4" t="inlineStr">
        <is>
          <t xml:space="preserve">并发状态推进</t>
        </is>
      </c>
      <c r="C22" s="4" t="inlineStr">
        <is>
          <t xml:space="preserve">双方同时操作</t>
        </is>
      </c>
      <c r="D22" s="4" t="inlineStr">
        <is>
          <t xml:space="preserve">CAS 乐观锁最终态唯一</t>
        </is>
      </c>
      <c r="E22" s="22" t="inlineStr">
        <is>
          <t xml:space="preserve">「订单状态已更新」</t>
        </is>
      </c>
      <c r="F22" s="4" t="inlineStr">
        <is>
          <t xml:space="preserve">禁止覆盖已退款/已取消</t>
        </is>
      </c>
    </row>
    <row r="23" ht="40" customHeight="1">
      <c r="B23" s="4" t="inlineStr">
        <is>
          <t xml:space="preserve">越权访问订单</t>
        </is>
      </c>
      <c r="C23" s="4" t="inlineStr">
        <is>
          <t xml:space="preserve">篡改 orderId</t>
        </is>
      </c>
      <c r="D23" s="4" t="inlineStr">
        <is>
          <t xml:space="preserve">openid 鉴权 403</t>
        </is>
      </c>
      <c r="E23" s="22" t="inlineStr">
        <is>
          <t xml:space="preserve">「无权限」</t>
        </is>
      </c>
      <c r="F23" s="4" t="inlineStr">
        <is>
          <t xml:space="preserve">水平越权单测覆盖</t>
        </is>
      </c>
    </row>
    <row r="24" ht="40" customHeight="1">
      <c r="B24" s="4" t="inlineStr">
        <is>
          <t xml:space="preserve">位置伪造</t>
        </is>
      </c>
      <c r="C24" s="4" t="inlineStr">
        <is>
          <t xml:space="preserve">手选远距离</t>
        </is>
      </c>
      <c r="D24" s="4" t="inlineStr">
        <is>
          <t xml:space="preserve">接单侧不校验 accuracy（见 ISS-005）</t>
        </is>
      </c>
      <c r="E24" s="22" t="inlineStr">
        <is>
          <t xml:space="preserve">仍可接单</t>
        </is>
      </c>
      <c r="F24" s="4" t="inlineStr">
        <is>
          <t xml:space="preserve">接单侧 accuracy/GCJ-02 校验</t>
        </is>
      </c>
    </row>
    <row r="25" ht="40" customHeight="1">
      <c r="B25" s="4" t="inlineStr">
        <is>
          <t xml:space="preserve">内容违规/诈骗</t>
        </is>
      </c>
      <c r="C25" s="4" t="inlineStr">
        <is>
          <t xml:space="preserve">聊天/资料命中</t>
        </is>
      </c>
      <c r="D25" s="4" t="inlineStr">
        <is>
          <t xml:space="preserve">msgSecCheck+违禁词+四确认前仅模板拦截+留证</t>
        </is>
      </c>
      <c r="E25" s="22" t="inlineStr">
        <is>
          <t xml:space="preserve">「内容违规已拦截」</t>
        </is>
      </c>
      <c r="F25" s="4" t="inlineStr">
        <is>
          <t xml:space="preserve">接入内容安全+禁外导流</t>
        </is>
      </c>
    </row>
  </sheetData>
  <mergeCells count="3">
    <mergeCell ref="B2:F2"/>
    <mergeCell ref="B4:F4"/>
    <mergeCell ref="B14:F14"/>
  </mergeCell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B2:D22"/>
  <sheetViews>
    <sheetView showGridLines="0" workbookViewId="0">
      <selection activeCell="A1" sqref="A1"/>
    </sheetView>
  </sheetViews>
  <sheetFormatPr baseColWidth="8" defaultRowHeight="15"/>
  <cols>
    <col width="3" customWidth="1" min="1" max="1"/>
    <col width="44" customWidth="1" min="2" max="2"/>
    <col width="16" customWidth="1" min="3" max="3"/>
    <col width="44" customWidth="1" min="4" max="4"/>
  </cols>
  <sheetData>
    <row r="2" ht="34" customHeight="1">
      <c r="B2" s="5" t="inlineStr">
        <is>
          <t>05 · 发布闸门（P0 清零 + P1 评审 = 才放行）</t>
        </is>
      </c>
    </row>
    <row r="4" ht="26" customHeight="1">
      <c r="B4" s="11" t="inlineStr">
        <is>
          <t>指标</t>
        </is>
      </c>
      <c r="C4" s="11" t="inlineStr">
        <is>
          <t>取值（自动统计）</t>
        </is>
      </c>
      <c r="D4" s="11" t="inlineStr">
        <is>
          <t>判定标准</t>
        </is>
      </c>
    </row>
    <row r="5" ht="24" customHeight="1">
      <c r="B5" s="23" t="inlineStr">
        <is>
          <t>检查项总数</t>
        </is>
      </c>
      <c r="C5" s="24">
        <f>COUNTA(02-检查清单!A3:A56)</f>
        <v/>
      </c>
      <c r="D5" s="10" t="inlineStr">
        <is>
          <t>—</t>
        </is>
      </c>
    </row>
    <row r="6" ht="24" customHeight="1">
      <c r="B6" s="23" t="inlineStr">
        <is>
          <t>已通过</t>
        </is>
      </c>
      <c r="C6" s="24">
        <f>COUNTIF(02-检查清单!F3:F56,"通过")</f>
        <v/>
      </c>
      <c r="D6" s="10" t="inlineStr">
        <is>
          <t>越高越好</t>
        </is>
      </c>
    </row>
    <row r="7" ht="24" customHeight="1">
      <c r="B7" s="23" t="inlineStr">
        <is>
          <t>不通过</t>
        </is>
      </c>
      <c r="C7" s="24">
        <f>COUNTIF(02-检查清单!F3:F56,"不通过")</f>
        <v/>
      </c>
      <c r="D7" s="10" t="inlineStr">
        <is>
          <t>发布前必须 =0</t>
        </is>
      </c>
    </row>
    <row r="8" ht="24" customHeight="1">
      <c r="B8" s="23" t="inlineStr">
        <is>
          <t>待确认</t>
        </is>
      </c>
      <c r="C8" s="24">
        <f>COUNTIF(02-检查清单!F3:F56,"待确认")</f>
        <v/>
      </c>
      <c r="D8" s="10" t="inlineStr">
        <is>
          <t>视为未闭环，需逐条定责</t>
        </is>
      </c>
    </row>
    <row r="9" ht="24" customHeight="1">
      <c r="B9" s="23" t="inlineStr">
        <is>
          <t>P0 总数</t>
        </is>
      </c>
      <c r="C9" s="24">
        <f>COUNTIF(02-检查清单!G3:G56,"P0")</f>
        <v/>
      </c>
      <c r="D9" s="10" t="inlineStr">
        <is>
          <t>—</t>
        </is>
      </c>
    </row>
    <row r="10" ht="24" customHeight="1">
      <c r="B10" s="23" t="inlineStr">
        <is>
          <t>🔴 P0 未关闭</t>
        </is>
      </c>
      <c r="C10" s="24">
        <f>COUNTIFS(02-检查清单!G3:G56,"P0",02-检查清单!F3:F56,"&lt;&gt;通过")</f>
        <v/>
      </c>
      <c r="D10" s="10" t="inlineStr">
        <is>
          <t>必须 =0 否则一票否决</t>
        </is>
      </c>
    </row>
    <row r="11" ht="24" customHeight="1">
      <c r="B11" s="23" t="inlineStr">
        <is>
          <t>🟠 P1 未关闭</t>
        </is>
      </c>
      <c r="C11" s="24">
        <f>COUNTIFS(02-检查清单!G3:G56,"P1",02-检查清单!F3:F56,"&lt;&gt;通过")</f>
        <v/>
      </c>
      <c r="D11" s="10" t="inlineStr">
        <is>
          <t>必须评审并登记台账</t>
        </is>
      </c>
    </row>
    <row r="12" ht="24" customHeight="1">
      <c r="B12" s="23" t="inlineStr">
        <is>
          <t>台账 P0 未关单</t>
        </is>
      </c>
      <c r="C12" s="24">
        <f>COUNTIFS(03-问题台账!C3:C200,"P0",03-问题台账!K3:K200,"&lt;&gt;已关闭",03-问题台账!K3:K200,"&lt;&gt;")</f>
        <v/>
      </c>
      <c r="D12" s="10" t="inlineStr">
        <is>
          <t>必须 =0</t>
        </is>
      </c>
    </row>
    <row r="13" ht="24" customHeight="1">
      <c r="B13" s="23" t="inlineStr">
        <is>
          <t>放行结论</t>
        </is>
      </c>
      <c r="C13" s="24">
        <f>IF(AND(COUNTIFS('02-检查清单'!G3:G56,"P0",'02-检查清单'!F3:F56,"&lt;&gt;通过")=0,COUNTIFS('03-问题台账'!C3:C200,"P0",'03-问题台账'!K3:K200,"&lt;&gt;已关闭",'03-问题台账'!K3:K200,"&lt;&gt;")=0),"✅ 可发布","❌ 不放行")</f>
        <v/>
      </c>
      <c r="D13" s="10" t="inlineStr">
        <is>
          <t>P0 清零才显示可发布</t>
        </is>
      </c>
    </row>
    <row r="15" ht="22" customHeight="1">
      <c r="B15" s="21" t="inlineStr">
        <is>
          <t>发布前人工复核（AI 不替你签字）</t>
        </is>
      </c>
    </row>
    <row r="16" ht="20" customHeight="1">
      <c r="B16" s="9" t="inlineStr">
        <is>
          <t>□ 资金链路：抽佣基数、退款、违约金与实际支付流水逐笔对过</t>
        </is>
      </c>
    </row>
    <row r="17" ht="20" customHeight="1">
      <c r="B17" s="9" t="inlineStr">
        <is>
          <t>□ 状态机：每个枚举都跑过正常 + 异常路径（微信开发者工具实测）</t>
        </is>
      </c>
    </row>
    <row r="18" ht="20" customHeight="1">
      <c r="B18" s="9" t="inlineStr">
        <is>
          <t>□ 越权：用另一账号篡改 orderId 试过，确实拦住</t>
        </is>
      </c>
    </row>
    <row r="19" ht="20" customHeight="1">
      <c r="B19" s="9" t="inlineStr">
        <is>
          <t>□ 合规：隐私协议、内容安全、敏感行业资质已确认</t>
        </is>
      </c>
    </row>
    <row r="20" ht="20" customHeight="1">
      <c r="B20" s="9" t="inlineStr">
        <is>
          <t>□ 对账：日终 支付流水 = 订单 = 分账单 三方平账</t>
        </is>
      </c>
    </row>
    <row r="21" ht="20" customHeight="1">
      <c r="B21" s="9" t="inlineStr">
        <is>
          <t>□ 告警：支付/退款/结算失败有值班响应人与告警通道</t>
        </is>
      </c>
    </row>
    <row r="22" ht="20" customHeight="1">
      <c r="B22" s="9" t="inlineStr">
        <is>
          <t>□ 兜底：无人接单、回调丢失、自动完成三大场景实测通过</t>
        </is>
      </c>
    </row>
  </sheetData>
  <mergeCells count="9">
    <mergeCell ref="B19:D19"/>
    <mergeCell ref="B22:D22"/>
    <mergeCell ref="B17:D17"/>
    <mergeCell ref="B18:D18"/>
    <mergeCell ref="B2:D2"/>
    <mergeCell ref="B21:D21"/>
    <mergeCell ref="B15:D15"/>
    <mergeCell ref="B16:D16"/>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2026-10-31T11:46:26Z</dcterms:created>
  <dcterms:modified xmlns:dcterms="http://purl.org/dc/terms/" xmlns:xsi="http://www.w3.org/2001/XMLSchema-instance" xsi:type="dcterms:W3CDTF">2026-10-31T11:46:27Z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{"Label":"1","ContentProducer":"001191440300708461136T1WFUO","ProduceID":"976e072a675b666b1c3b3a4d5e960b31-7ncE","ReservedCode1":"{\"Type\":\" TC260PG\",\"Version\":1,\"Bindings\":[{\"Type\":\"soft\",\"AlgID\":\"sm3\",\"Value\":\"5f9045072cbb5ec403b07196ed935e1c3e84eea77aff8e1e63466178ae52e19c\"},{\"Type\":\"hash\",\"AlgID\":\"sm3\",\"Value\":\"55fbea9406f126a2e797523f57bf6255a098a0cb875af19e1193cff7d26336be\"}],\"PubSD\":[{\"Type\":\"DS\",\"AlgID\":\"sm2\",\"TBSData\":{\"Type\":\"Binding\",\"BType\":\"hash\"},\"Signature\":\"304402200bbf2946dc87c60517b6a4ff813a33843d2033d3a2eae806f8643a1a84431e2a022069d373cc9a277a8bbc71c81db1b7fc6547d4498b22aa0d18039e4c39a2800857\"},{\"Type\":\"PubKey\",\"AlgID\":\"sm2\",\"KeyValue\":\"0407f79b28a17a752b3aae4305c98b48978213832729a2571850b1310b2bc9fe8fee039ccf25ebfeac27502414d9fcef792d777183c98893d226171c2f7a3289a2\"}],\"Extension\":{\"Timestamp\":1793447194,\"KeyVersion\":\"v1-TxLeOmf7bqU223\"}}","ContentPropagator":"001191440300708461136T1WFUO","PropagateID":"976e072a675b666b1c3b3a4d5e960b31-7ncE","ReservedCode2":"{\"Type\":\" TC260PG\",\"Version\":1,\"Bindings\":[{\"Type\":\"soft\",\"AlgID\":\"sm3\",\"Value\":\"5f9045072cbb5ec403b07196ed935e1c3e84eea77aff8e1e63466178ae52e19c\"},{\"Type\":\"hash\",\"AlgID\":\"sm3\",\"Value\":\"55fbea9406f126a2e797523f57bf6255a098a0cb875af19e1193cff7d26336be\"}],\"PubSD\":[{\"Type\":\"DS\",\"AlgID\":\"sm2\",\"TBSData\":{\"Type\":\"Binding\",\"BType\":\"hash\"},\"Signature\":\"3045022100e71588004ce3691074f2aed773fb2a62bc1604abc94abd3dd6c77069b379af0302205d8130cbd08bb740979fe118b9eb9fa16d1304ae4baf4223e03c2cefdf1542ee\"},{\"Type\":\"PubKey\",\"AlgID\":\"sm2\",\"KeyValue\":\"0407f79b28a17a752b3aae4305c98b48978213832729a2571850b1310b2bc9fe8fee039ccf25ebfeac27502414d9fcef792d777183c98893d226171c2f7a3289a2\"}],\"Extension\":{\"Timestamp\":1793447194,\"KeyVersion\":\"v1-TxLeOmf7bqU223\"}}"}</vt:lpwstr>
  </property>
</Properties>
</file>